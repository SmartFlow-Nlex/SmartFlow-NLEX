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riority Board" sheetId="2" state="visible" r:id="rId2"/>
    <sheet xmlns:r="http://schemas.openxmlformats.org/officeDocument/2006/relationships" name="Kiarra" sheetId="3" state="visible" r:id="rId3"/>
    <sheet xmlns:r="http://schemas.openxmlformats.org/officeDocument/2006/relationships" name="Hans" sheetId="4" state="visible" r:id="rId4"/>
    <sheet xmlns:r="http://schemas.openxmlformats.org/officeDocument/2006/relationships" name="Jertz" sheetId="5" state="visible" r:id="rId5"/>
    <sheet xmlns:r="http://schemas.openxmlformats.org/officeDocument/2006/relationships" name="Ysa" sheetId="6" state="visible" r:id="rId6"/>
    <sheet xmlns:r="http://schemas.openxmlformats.org/officeDocument/2006/relationships" name="Manuscript" sheetId="7" state="visible" r:id="rId7"/>
    <sheet xmlns:r="http://schemas.openxmlformats.org/officeDocument/2006/relationships" name="Manuscript Revisions" sheetId="8" state="visible" r:id="rId8"/>
    <sheet xmlns:r="http://schemas.openxmlformats.org/officeDocument/2006/relationships" name="Tracker" sheetId="9" state="visible" r:id="rId9"/>
  </sheets>
  <definedNames>
    <definedName name="_xlnm._FilterDatabase" localSheetId="1" hidden="1">'Priority Board'!$A$4:$L$34</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11">
    <font>
      <name val="Calibri"/>
      <family val="2"/>
      <color theme="1"/>
      <sz val="11"/>
      <scheme val="minor"/>
    </font>
    <font>
      <name val="Arial"/>
      <b val="1"/>
      <color rgb="001F3864"/>
      <sz val="16"/>
    </font>
    <font>
      <name val="Arial"/>
      <i val="1"/>
      <color rgb="00595959"/>
      <sz val="9"/>
    </font>
    <font>
      <name val="Arial"/>
      <b val="1"/>
      <sz val="10"/>
    </font>
    <font>
      <name val="Arial"/>
      <sz val="10"/>
    </font>
    <font>
      <name val="Arial"/>
      <b val="1"/>
      <color rgb="00FFFFFF"/>
      <sz val="11"/>
    </font>
    <font>
      <name val="Arial"/>
      <b val="1"/>
      <color rgb="001F3864"/>
      <sz val="14"/>
    </font>
    <font>
      <name val="Arial"/>
      <color rgb="000000FF"/>
      <sz val="10"/>
    </font>
    <font>
      <name val="Arial"/>
      <i val="1"/>
      <color rgb="009C0006"/>
      <sz val="9"/>
    </font>
    <font>
      <name val="Arial"/>
      <color rgb="007F7F7F"/>
      <sz val="9"/>
    </font>
    <font>
      <name val="Arial"/>
      <b val="1"/>
      <color rgb="001F3864"/>
      <sz val="12"/>
    </font>
  </fonts>
  <fills count="7">
    <fill>
      <patternFill/>
    </fill>
    <fill>
      <patternFill patternType="gray125"/>
    </fill>
    <fill>
      <patternFill patternType="solid">
        <fgColor rgb="001F3864"/>
      </patternFill>
    </fill>
    <fill>
      <patternFill patternType="solid">
        <fgColor rgb="00EDF2F9"/>
      </patternFill>
    </fill>
    <fill>
      <patternFill patternType="solid">
        <fgColor rgb="00FCE4D6"/>
      </patternFill>
    </fill>
    <fill>
      <patternFill patternType="solid">
        <fgColor rgb="00E2EFDA"/>
      </patternFill>
    </fill>
    <fill>
      <patternFill patternType="solid">
        <fgColor rgb="00FFF2CC"/>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8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vertical="center" wrapText="1"/>
    </xf>
    <xf numFmtId="0" fontId="3" fillId="0" borderId="1" pivotButton="0" quotePrefix="0" xfId="0"/>
    <xf numFmtId="0" fontId="4" fillId="0" borderId="1" pivotButton="0" quotePrefix="0" xfId="0"/>
    <xf numFmtId="164" fontId="4" fillId="0" borderId="1" pivotButton="0" quotePrefix="0" xfId="0"/>
    <xf numFmtId="0" fontId="4" fillId="0" borderId="1" applyAlignment="1" pivotButton="0" quotePrefix="0" xfId="0">
      <alignment vertical="top" wrapText="1"/>
    </xf>
    <xf numFmtId="0" fontId="3" fillId="3" borderId="1" pivotButton="0" quotePrefix="0" xfId="0"/>
    <xf numFmtId="164" fontId="3" fillId="3" borderId="1" pivotButton="0" quotePrefix="0" xfId="0"/>
    <xf numFmtId="0" fontId="4" fillId="3" borderId="1" pivotButton="0" quotePrefix="0" xfId="0"/>
    <xf numFmtId="0" fontId="4" fillId="4" borderId="0" applyAlignment="1" pivotButton="0" quotePrefix="0" xfId="0">
      <alignment vertical="top" wrapText="1"/>
    </xf>
    <xf numFmtId="0" fontId="0" fillId="4" borderId="0" pivotButton="0" quotePrefix="0" xfId="0"/>
    <xf numFmtId="165" fontId="4" fillId="0" borderId="1" pivotButton="0" quotePrefix="0" xfId="0"/>
    <xf numFmtId="165" fontId="3" fillId="0" borderId="1" pivotButton="0" quotePrefix="0" xfId="0"/>
    <xf numFmtId="165" fontId="3" fillId="3" borderId="1" pivotButton="0" quotePrefix="0" xfId="0"/>
    <xf numFmtId="0" fontId="0" fillId="3" borderId="1" pivotButton="0" quotePrefix="0" xfId="0"/>
    <xf numFmtId="0" fontId="2" fillId="0" borderId="0" applyAlignment="1" pivotButton="0" quotePrefix="0" xfId="0">
      <alignment vertical="top" wrapText="1"/>
    </xf>
    <xf numFmtId="0" fontId="6" fillId="0" borderId="0" pivotButton="0" quotePrefix="0" xfId="0"/>
    <xf numFmtId="0" fontId="3" fillId="4" borderId="1" applyAlignment="1" pivotButton="0" quotePrefix="0" xfId="0">
      <alignment vertical="top" wrapText="1"/>
    </xf>
    <xf numFmtId="0" fontId="4" fillId="4" borderId="1" applyAlignment="1" pivotButton="0" quotePrefix="0" xfId="0">
      <alignment vertical="top" wrapText="1"/>
    </xf>
    <xf numFmtId="165" fontId="4" fillId="4" borderId="1" applyAlignment="1" pivotButton="0" quotePrefix="0" xfId="0">
      <alignment vertical="top" wrapText="1"/>
    </xf>
    <xf numFmtId="165" fontId="7" fillId="4" borderId="1" applyAlignment="1" pivotButton="0" quotePrefix="0" xfId="0">
      <alignment vertical="top" wrapText="1"/>
    </xf>
    <xf numFmtId="165" fontId="3" fillId="4" borderId="1" applyAlignment="1" pivotButton="0" quotePrefix="0" xfId="0">
      <alignment vertical="top" wrapText="1"/>
    </xf>
    <xf numFmtId="164" fontId="4" fillId="4" borderId="1" applyAlignment="1" pivotButton="0" quotePrefix="0" xfId="0">
      <alignment vertical="top" wrapText="1"/>
    </xf>
    <xf numFmtId="0" fontId="3" fillId="0" borderId="1" applyAlignment="1" pivotButton="0" quotePrefix="0" xfId="0">
      <alignment vertical="top" wrapText="1"/>
    </xf>
    <xf numFmtId="165" fontId="4" fillId="0" borderId="1" applyAlignment="1" pivotButton="0" quotePrefix="0" xfId="0">
      <alignment vertical="top" wrapText="1"/>
    </xf>
    <xf numFmtId="165" fontId="7" fillId="0" borderId="1" applyAlignment="1" pivotButton="0" quotePrefix="0" xfId="0">
      <alignment vertical="top" wrapText="1"/>
    </xf>
    <xf numFmtId="165" fontId="3" fillId="0" borderId="1" applyAlignment="1" pivotButton="0" quotePrefix="0" xfId="0">
      <alignment vertical="top" wrapText="1"/>
    </xf>
    <xf numFmtId="164" fontId="4" fillId="0" borderId="1" applyAlignment="1" pivotButton="0" quotePrefix="0" xfId="0">
      <alignment vertical="top" wrapText="1"/>
    </xf>
    <xf numFmtId="0" fontId="3" fillId="5" borderId="1" applyAlignment="1" pivotButton="0" quotePrefix="0" xfId="0">
      <alignment vertical="top" wrapText="1"/>
    </xf>
    <xf numFmtId="0" fontId="4" fillId="5" borderId="1" applyAlignment="1" pivotButton="0" quotePrefix="0" xfId="0">
      <alignment vertical="top" wrapText="1"/>
    </xf>
    <xf numFmtId="165" fontId="4" fillId="5" borderId="1" applyAlignment="1" pivotButton="0" quotePrefix="0" xfId="0">
      <alignment vertical="top" wrapText="1"/>
    </xf>
    <xf numFmtId="165" fontId="7" fillId="5" borderId="1" applyAlignment="1" pivotButton="0" quotePrefix="0" xfId="0">
      <alignment vertical="top" wrapText="1"/>
    </xf>
    <xf numFmtId="165" fontId="3" fillId="5" borderId="1" applyAlignment="1" pivotButton="0" quotePrefix="0" xfId="0">
      <alignment vertical="top" wrapText="1"/>
    </xf>
    <xf numFmtId="164" fontId="4" fillId="5" borderId="1" applyAlignment="1" pivotButton="0" quotePrefix="0" xfId="0">
      <alignment vertical="top" wrapText="1"/>
    </xf>
    <xf numFmtId="0" fontId="7" fillId="0" borderId="1" applyAlignment="1" pivotButton="0" quotePrefix="0" xfId="0">
      <alignment vertical="top" wrapText="1"/>
    </xf>
    <xf numFmtId="0" fontId="4" fillId="6" borderId="1" applyAlignment="1" pivotButton="0" quotePrefix="0" xfId="0">
      <alignment vertical="top" wrapText="1"/>
    </xf>
    <xf numFmtId="0" fontId="3" fillId="3" borderId="1" applyAlignment="1" pivotButton="0" quotePrefix="0" xfId="0">
      <alignment vertical="top" wrapText="1"/>
    </xf>
    <xf numFmtId="0" fontId="4" fillId="3" borderId="1" applyAlignment="1" pivotButton="0" quotePrefix="0" xfId="0">
      <alignment vertical="top" wrapText="1"/>
    </xf>
    <xf numFmtId="0" fontId="7" fillId="3" borderId="1" applyAlignment="1" pivotButton="0" quotePrefix="0" xfId="0">
      <alignment vertical="top" wrapText="1"/>
    </xf>
    <xf numFmtId="0" fontId="3" fillId="4" borderId="1" applyAlignment="1" pivotButton="0" quotePrefix="0" xfId="0">
      <alignment horizontal="center" vertical="center"/>
    </xf>
    <xf numFmtId="0" fontId="0" fillId="4" borderId="1" pivotButton="0" quotePrefix="0" xfId="0"/>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applyAlignment="1" pivotButton="0" quotePrefix="0" xfId="0">
      <alignment vertical="top" wrapText="1"/>
    </xf>
    <xf numFmtId="164" fontId="3" fillId="0" borderId="1" pivotButton="0" quotePrefix="0" xfId="0"/>
    <xf numFmtId="0" fontId="0" fillId="0" borderId="1" pivotButton="0" quotePrefix="0" xfId="0"/>
    <xf numFmtId="0" fontId="8" fillId="4" borderId="0" applyAlignment="1" pivotButton="0" quotePrefix="0" xfId="0">
      <alignment vertical="top" wrapText="1"/>
    </xf>
    <xf numFmtId="0" fontId="0" fillId="0" borderId="4" pivotButton="0" quotePrefix="0" xfId="0"/>
    <xf numFmtId="0" fontId="0" fillId="0" borderId="5" pivotButton="0" quotePrefix="0" xfId="0"/>
    <xf numFmtId="165" fontId="7" fillId="0" borderId="1" pivotButton="0" quotePrefix="0" xfId="0"/>
    <xf numFmtId="0" fontId="8" fillId="0" borderId="0"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7" fillId="4" borderId="1" applyAlignment="1" pivotButton="0" quotePrefix="0" xfId="0">
      <alignment vertical="top" wrapText="1"/>
    </xf>
    <xf numFmtId="0" fontId="3" fillId="6" borderId="1" pivotButton="0" quotePrefix="0" xfId="0"/>
    <xf numFmtId="0" fontId="2" fillId="6" borderId="1" applyAlignment="1" pivotButton="0" quotePrefix="0" xfId="0">
      <alignment vertical="top" wrapText="1"/>
    </xf>
    <xf numFmtId="0" fontId="4" fillId="6" borderId="1" pivotButton="0" quotePrefix="0" xfId="0"/>
    <xf numFmtId="165" fontId="4" fillId="6" borderId="1" pivotButton="0" quotePrefix="0" xfId="0"/>
    <xf numFmtId="165" fontId="7" fillId="6" borderId="1" pivotButton="0" quotePrefix="0" xfId="0"/>
    <xf numFmtId="0" fontId="7" fillId="6" borderId="1" pivotButton="0" quotePrefix="0" xfId="0"/>
    <xf numFmtId="165" fontId="3" fillId="6" borderId="1" pivotButton="0" quotePrefix="0" xfId="0"/>
    <xf numFmtId="164" fontId="4" fillId="6" borderId="1" pivotButton="0" quotePrefix="0" xfId="0"/>
    <xf numFmtId="0" fontId="5" fillId="2" borderId="1" pivotButton="0" quotePrefix="0" xfId="0"/>
    <xf numFmtId="0" fontId="7" fillId="0" borderId="1" pivotButton="0" quotePrefix="0" xfId="0"/>
    <xf numFmtId="165" fontId="3" fillId="0" borderId="0" pivotButton="0" quotePrefix="0" xfId="0"/>
    <xf numFmtId="0" fontId="4" fillId="0" borderId="1" applyAlignment="1" pivotButton="0" quotePrefix="0" xfId="0">
      <alignment horizontal="center"/>
    </xf>
    <xf numFmtId="0" fontId="9" fillId="0" borderId="1" applyAlignment="1" pivotButton="0" quotePrefix="0" xfId="0">
      <alignment vertical="top" wrapText="1"/>
    </xf>
    <xf numFmtId="0" fontId="2" fillId="0" borderId="1" applyAlignment="1" pivotButton="0" quotePrefix="0" xfId="0">
      <alignment vertical="top" wrapText="1"/>
    </xf>
    <xf numFmtId="165" fontId="4" fillId="6" borderId="1" applyAlignment="1" pivotButton="0" quotePrefix="0" xfId="0">
      <alignment vertical="top" wrapText="1"/>
    </xf>
    <xf numFmtId="165" fontId="7" fillId="6" borderId="1" applyAlignment="1" pivotButton="0" quotePrefix="0" xfId="0">
      <alignment vertical="top" wrapText="1"/>
    </xf>
    <xf numFmtId="165" fontId="3" fillId="6" borderId="1" applyAlignment="1" pivotButton="0" quotePrefix="0" xfId="0">
      <alignment vertical="top" wrapText="1"/>
    </xf>
    <xf numFmtId="164" fontId="4" fillId="6" borderId="1" applyAlignment="1" pivotButton="0" quotePrefix="0" xfId="0">
      <alignment vertical="top" wrapText="1"/>
    </xf>
    <xf numFmtId="0" fontId="4" fillId="6" borderId="1" applyAlignment="1" pivotButton="0" quotePrefix="0" xfId="0">
      <alignment horizontal="center"/>
    </xf>
    <xf numFmtId="0" fontId="10" fillId="0" borderId="0" pivotButton="0" quotePrefix="0" xfId="0"/>
    <xf numFmtId="0" fontId="2" fillId="0" borderId="1" applyAlignment="1" pivotButton="0" quotePrefix="0" xfId="0">
      <alignment horizontal="center" vertical="top"/>
    </xf>
    <xf numFmtId="0" fontId="9" fillId="0" borderId="1" applyAlignment="1" pivotButton="0" quotePrefix="0" xfId="0">
      <alignment horizontal="center" vertical="top"/>
    </xf>
    <xf numFmtId="0" fontId="5" fillId="2" borderId="1" applyAlignment="1" pivotButton="0" quotePrefix="0" xfId="0">
      <alignment vertical="center"/>
    </xf>
    <xf numFmtId="0" fontId="3" fillId="0" borderId="1" applyAlignment="1" pivotButton="0" quotePrefix="0" xfId="0">
      <alignment horizontal="center"/>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8" defaultRowHeight="15"/>
  <cols>
    <col width="30" customWidth="1" min="1" max="1"/>
    <col width="13" customWidth="1" min="2" max="2"/>
    <col width="13" customWidth="1" min="3" max="3"/>
    <col width="13" customWidth="1" min="4" max="4"/>
    <col width="13" customWidth="1" min="5" max="5"/>
    <col width="58" customWidth="1" min="6" max="6"/>
  </cols>
  <sheetData>
    <row r="1">
      <c r="A1" s="1" t="inlineStr">
        <is>
          <t>SmartFlow NLEX - Sprint to 100%</t>
        </is>
      </c>
    </row>
    <row r="2">
      <c r="A2" s="2" t="inlineStr">
        <is>
          <t>Sep 29 - Oct 8, 2026  |  deadline Oct 9  |  10:00-22:30 daily  |  built from CP-Grp4_AcceptanceCriteria.pdf, last updated 2026-09-28 22:59</t>
        </is>
      </c>
    </row>
    <row r="4">
      <c r="A4" s="3" t="inlineStr">
        <is>
          <t>THIS PLAN IS DRIVEN BY WEIGHT, NOT BY SUBTASK COUNT</t>
        </is>
      </c>
    </row>
    <row r="5">
      <c r="A5" s="4" t="inlineStr">
        <is>
          <t>Your acceptance criteria file weights every task. A 2.8% task and a 0.3% task are not the same day's work,</t>
        </is>
      </c>
    </row>
    <row r="6">
      <c r="A6" s="4" t="inlineStr">
        <is>
          <t>so the Priority Board is sorted by weight points still to gain. Clear the top of that list and the number moves.</t>
        </is>
      </c>
    </row>
    <row r="7">
      <c r="A7" s="4" t="inlineStr">
        <is>
          <t>Blue cells are yours. Everything black is a formula.</t>
        </is>
      </c>
    </row>
    <row r="9">
      <c r="A9" s="3" t="inlineStr">
        <is>
          <t>WHERE THE PROJECT STANDS</t>
        </is>
      </c>
    </row>
    <row r="10" ht="24" customHeight="1">
      <c r="A10" s="5" t="inlineStr">
        <is>
          <t>Track</t>
        </is>
      </c>
      <c r="B10" s="5" t="inlineStr">
        <is>
          <t>Allocated %</t>
        </is>
      </c>
      <c r="C10" s="5" t="inlineStr">
        <is>
          <t>Actual %</t>
        </is>
      </c>
      <c r="D10" s="5" t="inlineStr">
        <is>
          <t>Gap %</t>
        </is>
      </c>
      <c r="E10" s="5" t="inlineStr">
        <is>
          <t>Complete</t>
        </is>
      </c>
      <c r="F10" s="5" t="inlineStr">
        <is>
          <t>Note</t>
        </is>
      </c>
    </row>
    <row r="11" ht="30" customHeight="1">
      <c r="A11" s="6" t="inlineStr">
        <is>
          <t>SYSTEM</t>
        </is>
      </c>
      <c r="B11" s="7" t="n">
        <v>90</v>
      </c>
      <c r="C11" s="7" t="n">
        <v>61.049</v>
      </c>
      <c r="D11" s="6">
        <f>B11-C11</f>
        <v/>
      </c>
      <c r="E11" s="8">
        <f>IFERROR(C11/B11,0)</f>
        <v/>
      </c>
      <c r="F11" s="9" t="inlineStr">
        <is>
          <t>286 tasks. Target: 90% by Tue Oct 6.</t>
        </is>
      </c>
    </row>
    <row r="12" ht="30" customHeight="1">
      <c r="A12" s="6" t="inlineStr">
        <is>
          <t>MANUSCRIPT</t>
        </is>
      </c>
      <c r="B12" s="7" t="n">
        <v>10</v>
      </c>
      <c r="C12" s="7" t="n">
        <v>0.769</v>
      </c>
      <c r="D12" s="6">
        <f>B12-C12</f>
        <v/>
      </c>
      <c r="E12" s="8">
        <f>IFERROR(C12/B12,0)</f>
        <v/>
      </c>
      <c r="F12" s="9" t="inlineStr">
        <is>
          <t>39 tasks, mostly 'Document X' riding each module. Target: 10% by Thu Oct 8.</t>
        </is>
      </c>
    </row>
    <row r="13">
      <c r="A13" s="10" t="inlineStr">
        <is>
          <t>TOTAL</t>
        </is>
      </c>
      <c r="B13" s="10">
        <f>SUM(B11:B12)</f>
        <v/>
      </c>
      <c r="C13" s="10">
        <f>SUM(C11:C12)</f>
        <v/>
      </c>
      <c r="D13" s="10">
        <f>B13-C13</f>
        <v/>
      </c>
      <c r="E13" s="11">
        <f>IFERROR(C13/B13,0)</f>
        <v/>
      </c>
      <c r="F13" s="12" t="inlineStr">
        <is>
          <t>38.2 weight points to find in ten days.</t>
        </is>
      </c>
    </row>
    <row r="15">
      <c r="A15" s="3" t="inlineStr">
        <is>
          <t>THE FIVE THAT MATTER MOST</t>
        </is>
      </c>
    </row>
    <row r="16">
      <c r="A16" s="13" t="inlineStr">
        <is>
          <t>Three tasks sit at 0.000%: INCIDENTFC (2.832), PRESCRIBE (2.517) and RAG (2.517). With MODEVAL (2.518 to gain) and the MOD-BE/MOD-ANA manuscript blocks (2.564 each), these six carry 15.5 of the 38.2 points. Nothing else on the board moves the number as fast.</t>
        </is>
      </c>
    </row>
    <row r="17"/>
    <row r="19">
      <c r="A19" s="3" t="inlineStr">
        <is>
          <t>TEAM</t>
        </is>
      </c>
    </row>
    <row r="20" ht="24" customHeight="1">
      <c r="A20" s="5" t="inlineStr">
        <is>
          <t>Member</t>
        </is>
      </c>
      <c r="B20" s="5" t="inlineStr">
        <is>
          <t>Code pts to gain</t>
        </is>
      </c>
      <c r="C20" s="5" t="inlineStr">
        <is>
          <t>MS pts to gain</t>
        </is>
      </c>
      <c r="D20" s="5" t="inlineStr">
        <is>
          <t>Total</t>
        </is>
      </c>
      <c r="E20" s="5" t="inlineStr">
        <is>
          <t>Share</t>
        </is>
      </c>
      <c r="F20" s="5" t="inlineStr">
        <is>
          <t>Owns</t>
        </is>
      </c>
    </row>
    <row r="21" ht="46" customHeight="1">
      <c r="A21" s="6" t="inlineStr">
        <is>
          <t>Kiarra</t>
        </is>
      </c>
      <c r="B21" s="15">
        <f>SUMIF('Priority Board'!D:D,A21,'Priority Board'!I:I)</f>
        <v/>
      </c>
      <c r="C21" s="15">
        <f>SUMIF(Manuscript!$D$16:$D$41,A21,Manuscript!$M$16:$M$41)</f>
        <v/>
      </c>
      <c r="D21" s="16">
        <f>B21+C21</f>
        <v/>
      </c>
      <c r="E21" s="8">
        <f>IFERROR(D21/$D$25,0)</f>
        <v/>
      </c>
      <c r="F21" s="9" t="inlineStr">
        <is>
          <t>CORE (HOST, ENV, REPO), AUTH, MAINT, DATAUP, UIUX. Lightest code gap by design, so she carries the Ch.1-3 revision pass and the MOD-FE manuscript block.</t>
        </is>
      </c>
    </row>
    <row r="22" ht="46" customHeight="1">
      <c r="A22" s="6" t="inlineStr">
        <is>
          <t>Hans</t>
        </is>
      </c>
      <c r="B22" s="15">
        <f>SUMIF('Priority Board'!D:D,A22,'Priority Board'!I:I)</f>
        <v/>
      </c>
      <c r="C22" s="15">
        <f>SUMIF(Manuscript!$D$16:$D$41,A22,Manuscript!$M$16:$M$41)</f>
        <v/>
      </c>
      <c r="D22" s="16">
        <f>B22+C22</f>
        <v/>
      </c>
      <c r="E22" s="8">
        <f>IFERROR(D22/$D$25,0)</f>
        <v/>
      </c>
      <c r="F22" s="9" t="inlineStr">
        <is>
          <t>MOD-ANA's model side - PRESCRIBE, MODEVAL, TRAFFICFC, DATAPREP - plus DATA, CACHE, ETL, SUSTAIN, EMISSDESC, and the vehicle-dynamics half of the agent simulation. Heaviest load, and owns the 3.11 corrections.</t>
        </is>
      </c>
    </row>
    <row r="23" ht="46" customHeight="1">
      <c r="A23" s="6" t="inlineStr">
        <is>
          <t>Jertz</t>
        </is>
      </c>
      <c r="B23" s="15">
        <f>SUMIF('Priority Board'!D:D,A23,'Priority Board'!I:I)</f>
        <v/>
      </c>
      <c r="C23" s="15">
        <f>SUMIF(Manuscript!$D$16:$D$41,A23,Manuscript!$M$16:$M$41)</f>
        <v/>
      </c>
      <c r="D23" s="16">
        <f>B23+C23</f>
        <v/>
      </c>
      <c r="E23" s="8">
        <f>IFERROR(D23/$D$25,0)</f>
        <v/>
      </c>
      <c r="F23" s="9" t="inlineStr">
        <is>
          <t>INCIDENTFC (0%), INCIDENT, INCIDENTDESC, MAPCOMP, AUDIT, and the scenario and validation half of the agent simulation. Becomes the regression pass after code freeze, and owns 3.13 SQA.</t>
        </is>
      </c>
    </row>
    <row r="24" ht="46" customHeight="1">
      <c r="A24" s="6" t="inlineStr">
        <is>
          <t>Ysa</t>
        </is>
      </c>
      <c r="B24" s="15">
        <f>SUMIF('Priority Board'!D:D,A24,'Priority Board'!I:I)</f>
        <v/>
      </c>
      <c r="C24" s="15">
        <f>SUMIF(Manuscript!$D$16:$D$41,A24,Manuscript!$M$16:$M$41)</f>
        <v/>
      </c>
      <c r="D24" s="16">
        <f>B24+C24</f>
        <v/>
      </c>
      <c r="E24" s="8">
        <f>IFERROR(D24/$D$25,0)</f>
        <v/>
      </c>
      <c r="F24" s="9" t="inlineStr">
        <is>
          <t>RAG (0%), SANDBOX, REALTIME, UPLOAD and mobile. The simulation model moved to Hans and Jertz; she keeps the API and UI around it, which frees a day for figures and MOD-FE support.</t>
        </is>
      </c>
    </row>
    <row r="25">
      <c r="A25" s="10" t="inlineStr">
        <is>
          <t>TOTAL</t>
        </is>
      </c>
      <c r="B25" s="17">
        <f>SUM(B21:B24)</f>
        <v/>
      </c>
      <c r="C25" s="17">
        <f>SUM(C21:C24)</f>
        <v/>
      </c>
      <c r="D25" s="17">
        <f>SUM(D21:D24)</f>
        <v/>
      </c>
      <c r="E25" s="18" t="n"/>
      <c r="F25" s="18" t="n"/>
    </row>
    <row r="26">
      <c r="A26" s="19" t="inlineStr">
        <is>
          <t>Code points come from the Priority Board by task owner. Manuscript points are attributed to whoever WRITES each of the 26 sections, with every subtask taking an equal share of its module's allocation - the module owner is not always the writer, which is why Ysa previously showed zero.</t>
        </is>
      </c>
    </row>
    <row r="27"/>
    <row r="28" ht="32" customHeight="1">
      <c r="A28" s="19" t="inlineStr">
        <is>
          <t>- Your other tracker shows MOD-MOB with 33 subtasks. The acceptance criteria file has no MOD-MOB at all, and the five modules in it sum to 90%. Confirm which document is graded - if mobile is assessed, this plan is missing a module.</t>
        </is>
      </c>
    </row>
    <row r="29" ht="32" customHeight="1">
      <c r="A29" s="19" t="inlineStr">
        <is>
          <t>- The two trackers disagree on totals (254 vs 286 tasks, 74.8% vs 67.8% of SYSTEM). This plan follows the acceptance criteria file because it is weighted and dated most recently.</t>
        </is>
      </c>
    </row>
  </sheetData>
  <mergeCells count="8">
    <mergeCell ref="A2:F2"/>
    <mergeCell ref="A16:F17"/>
    <mergeCell ref="A28:F28"/>
    <mergeCell ref="A5:F5"/>
    <mergeCell ref="A6:F6"/>
    <mergeCell ref="A26:F27"/>
    <mergeCell ref="A29:F29"/>
    <mergeCell ref="A7:F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49"/>
  <sheetViews>
    <sheetView workbookViewId="0">
      <pane ySplit="4" topLeftCell="A5" activePane="bottomLeft" state="frozen"/>
      <selection pane="bottomLeft" activeCell="A1" sqref="A1"/>
    </sheetView>
  </sheetViews>
  <sheetFormatPr baseColWidth="8" defaultRowHeight="15"/>
  <cols>
    <col width="14" customWidth="1" min="1" max="1"/>
    <col width="38" customWidth="1" min="2" max="2"/>
    <col width="11" customWidth="1" min="3" max="3"/>
    <col width="10" customWidth="1" min="4" max="4"/>
    <col width="9" customWidth="1" min="5" max="5"/>
    <col width="9" customWidth="1" min="6" max="6"/>
    <col width="8" customWidth="1" min="7" max="7"/>
    <col width="10" customWidth="1" min="8" max="8"/>
    <col width="12" customWidth="1" min="9" max="9"/>
    <col width="9" customWidth="1" min="10" max="10"/>
    <col width="17" customWidth="1" min="11" max="11"/>
    <col width="12" customWidth="1" min="12" max="12"/>
    <col width="11" customWidth="1" min="13" max="13"/>
    <col width="13" customWidth="1" min="14" max="14"/>
  </cols>
  <sheetData>
    <row r="1">
      <c r="A1" s="20" t="inlineStr">
        <is>
          <t>Priority Board - every task by weight still to gain</t>
        </is>
      </c>
    </row>
    <row r="2">
      <c r="A2" s="2" t="inlineStr">
        <is>
          <t>Three ways a task progresses, and they agree: tick Status = Done on a daily block and Blocks done rises, type a figure into Actual %, or put Y in Done? to count the whole task at once. Done? overrides the rest.</t>
        </is>
      </c>
    </row>
    <row r="4" ht="26" customHeight="1">
      <c r="A4" s="5" t="inlineStr">
        <is>
          <t>Task ID</t>
        </is>
      </c>
      <c r="B4" s="5" t="inlineStr">
        <is>
          <t>Description</t>
        </is>
      </c>
      <c r="C4" s="5" t="inlineStr">
        <is>
          <t>Module</t>
        </is>
      </c>
      <c r="D4" s="5" t="inlineStr">
        <is>
          <t>Owner</t>
        </is>
      </c>
      <c r="E4" s="5" t="inlineStr">
        <is>
          <t>Alloc %</t>
        </is>
      </c>
      <c r="F4" s="5" t="inlineStr">
        <is>
          <t>Actual %</t>
        </is>
      </c>
      <c r="G4" s="5" t="inlineStr">
        <is>
          <t>Done?</t>
        </is>
      </c>
      <c r="H4" s="5" t="inlineStr">
        <is>
          <t>Counted %</t>
        </is>
      </c>
      <c r="I4" s="5" t="inlineStr">
        <is>
          <t>Points to gain</t>
        </is>
      </c>
      <c r="J4" s="5" t="inlineStr">
        <is>
          <t>% done</t>
        </is>
      </c>
      <c r="K4" s="5" t="inlineStr">
        <is>
          <t>Target window</t>
        </is>
      </c>
      <c r="L4" s="5" t="inlineStr">
        <is>
          <t>Status</t>
        </is>
      </c>
      <c r="M4" s="5" t="inlineStr">
        <is>
          <t>Blocks done</t>
        </is>
      </c>
      <c r="N4" s="5" t="inlineStr">
        <is>
          <t>Blocks planned</t>
        </is>
      </c>
    </row>
    <row r="5">
      <c r="A5" s="21" t="inlineStr">
        <is>
          <t>AUTH</t>
        </is>
      </c>
      <c r="B5" s="22" t="inlineStr">
        <is>
          <t>Authentication &amp; Session Management (frontend)</t>
        </is>
      </c>
      <c r="C5" s="22" t="inlineStr">
        <is>
          <t>MOD-FE</t>
        </is>
      </c>
      <c r="D5" s="22" t="inlineStr">
        <is>
          <t>Kiarra</t>
        </is>
      </c>
      <c r="E5" s="23" t="n">
        <v>1.888</v>
      </c>
      <c r="F5" s="24" t="n">
        <v>1.259</v>
      </c>
      <c r="G5" s="57" t="inlineStr">
        <is>
          <t>N</t>
        </is>
      </c>
      <c r="H5" s="23">
        <f>IF(UPPER(G5)="Y",E5,IF(N5=0,F5,F5+(E5-F5)*M5/N5))</f>
        <v/>
      </c>
      <c r="I5" s="25">
        <f>E5-H5</f>
        <v/>
      </c>
      <c r="J5" s="26">
        <f>IFERROR(H5/E5,0)</f>
        <v/>
      </c>
      <c r="K5" s="22" t="inlineStr">
        <is>
          <t>Oct 5 - Oct 6</t>
        </is>
      </c>
      <c r="L5" s="22">
        <f>IF(H5&gt;=E5,"Done",IF(H5&gt;0,"In progress","Not started"))</f>
        <v/>
      </c>
      <c r="M5" s="69">
        <f>COUNTIFS(Kiarra!$I:$I,"*;"&amp;$A5&amp;";*",Kiarra!$H:$H,"Done")+COUNTIFS(Hans!$I:$I,"*;"&amp;$A5&amp;";*",Hans!$H:$H,"Done")+COUNTIFS(Jertz!$I:$I,"*;"&amp;$A5&amp;";*",Jertz!$H:$H,"Done")+COUNTIFS(Ysa!$I:$I,"*;"&amp;$A5&amp;";*",Ysa!$H:$H,"Done")</f>
        <v/>
      </c>
      <c r="N5" s="69">
        <f>COUNTIF(Kiarra!$I:$I,"*;"&amp;$A5&amp;";*")+COUNTIF(Hans!$I:$I,"*;"&amp;$A5&amp;";*")+COUNTIF(Jertz!$I:$I,"*;"&amp;$A5&amp;";*")+COUNTIF(Ysa!$I:$I,"*;"&amp;$A5&amp;";*")</f>
        <v/>
      </c>
    </row>
    <row r="6">
      <c r="A6" s="21" t="inlineStr">
        <is>
          <t>TRAFFIC</t>
        </is>
      </c>
      <c r="B6" s="22" t="inlineStr">
        <is>
          <t>Traffic Overview Dashboard (frontend)</t>
        </is>
      </c>
      <c r="C6" s="22" t="inlineStr">
        <is>
          <t>MOD-FE</t>
        </is>
      </c>
      <c r="D6" s="22" t="inlineStr">
        <is>
          <t>Hans</t>
        </is>
      </c>
      <c r="E6" s="23" t="n">
        <v>3.147</v>
      </c>
      <c r="F6" s="24" t="n">
        <v>2.832</v>
      </c>
      <c r="G6" s="57" t="inlineStr">
        <is>
          <t>N</t>
        </is>
      </c>
      <c r="H6" s="23">
        <f>IF(UPPER(G6)="Y",E6,IF(N6=0,F6,F6+(E6-F6)*M6/N6))</f>
        <v/>
      </c>
      <c r="I6" s="25">
        <f>E6-H6</f>
        <v/>
      </c>
      <c r="J6" s="26">
        <f>IFERROR(H6/E6,0)</f>
        <v/>
      </c>
      <c r="K6" s="22" t="inlineStr">
        <is>
          <t>Oct 5 - Oct 6</t>
        </is>
      </c>
      <c r="L6" s="22">
        <f>IF(H6&gt;=E6,"Done",IF(H6&gt;0,"In progress","Not started"))</f>
        <v/>
      </c>
      <c r="M6" s="69">
        <f>COUNTIFS(Kiarra!$I:$I,"*;"&amp;$A6&amp;";*",Kiarra!$H:$H,"Done")+COUNTIFS(Hans!$I:$I,"*;"&amp;$A6&amp;";*",Hans!$H:$H,"Done")+COUNTIFS(Jertz!$I:$I,"*;"&amp;$A6&amp;";*",Jertz!$H:$H,"Done")+COUNTIFS(Ysa!$I:$I,"*;"&amp;$A6&amp;";*",Ysa!$H:$H,"Done")</f>
        <v/>
      </c>
      <c r="N6" s="69">
        <f>COUNTIF(Kiarra!$I:$I,"*;"&amp;$A6&amp;";*")+COUNTIF(Hans!$I:$I,"*;"&amp;$A6&amp;";*")+COUNTIF(Jertz!$I:$I,"*;"&amp;$A6&amp;";*")+COUNTIF(Ysa!$I:$I,"*;"&amp;$A6&amp;";*")</f>
        <v/>
      </c>
    </row>
    <row r="7">
      <c r="A7" s="21" t="inlineStr">
        <is>
          <t>INCIDENT</t>
        </is>
      </c>
      <c r="B7" s="22" t="inlineStr">
        <is>
          <t>Incident Data API Endpoints (frontend)</t>
        </is>
      </c>
      <c r="C7" s="22" t="inlineStr">
        <is>
          <t>MOD-FE</t>
        </is>
      </c>
      <c r="D7" s="22" t="inlineStr">
        <is>
          <t>Jertz</t>
        </is>
      </c>
      <c r="E7" s="23" t="n">
        <v>2.832</v>
      </c>
      <c r="F7" s="24" t="n">
        <v>2.517</v>
      </c>
      <c r="G7" s="57" t="inlineStr">
        <is>
          <t>N</t>
        </is>
      </c>
      <c r="H7" s="23">
        <f>IF(UPPER(G7)="Y",E7,IF(N7=0,F7,F7+(E7-F7)*M7/N7))</f>
        <v/>
      </c>
      <c r="I7" s="25">
        <f>E7-H7</f>
        <v/>
      </c>
      <c r="J7" s="26">
        <f>IFERROR(H7/E7,0)</f>
        <v/>
      </c>
      <c r="K7" s="22" t="inlineStr">
        <is>
          <t>Oct 5 - Oct 6</t>
        </is>
      </c>
      <c r="L7" s="22">
        <f>IF(H7&gt;=E7,"Done",IF(H7&gt;0,"In progress","Not started"))</f>
        <v/>
      </c>
      <c r="M7" s="69">
        <f>COUNTIFS(Kiarra!$I:$I,"*;"&amp;$A7&amp;";*",Kiarra!$H:$H,"Done")+COUNTIFS(Hans!$I:$I,"*;"&amp;$A7&amp;";*",Hans!$H:$H,"Done")+COUNTIFS(Jertz!$I:$I,"*;"&amp;$A7&amp;";*",Jertz!$H:$H,"Done")+COUNTIFS(Ysa!$I:$I,"*;"&amp;$A7&amp;";*",Ysa!$H:$H,"Done")</f>
        <v/>
      </c>
      <c r="N7" s="69">
        <f>COUNTIF(Kiarra!$I:$I,"*;"&amp;$A7&amp;";*")+COUNTIF(Hans!$I:$I,"*;"&amp;$A7&amp;";*")+COUNTIF(Jertz!$I:$I,"*;"&amp;$A7&amp;";*")+COUNTIF(Ysa!$I:$I,"*;"&amp;$A7&amp;";*")</f>
        <v/>
      </c>
    </row>
    <row r="8" ht="66" customHeight="1">
      <c r="A8" s="21" t="inlineStr">
        <is>
          <t>SANDBOX</t>
        </is>
      </c>
      <c r="B8" s="22" t="inlineStr">
        <is>
          <t>AI Traffic Sandbox API (frontend)</t>
        </is>
      </c>
      <c r="C8" s="22" t="inlineStr">
        <is>
          <t>MOD-FE</t>
        </is>
      </c>
      <c r="D8" s="22" t="inlineStr">
        <is>
          <t>Ysa</t>
        </is>
      </c>
      <c r="E8" s="23" t="n">
        <v>2.832</v>
      </c>
      <c r="F8" s="24" t="n">
        <v>1.888</v>
      </c>
      <c r="G8" s="57" t="inlineStr">
        <is>
          <t>N</t>
        </is>
      </c>
      <c r="H8" s="23">
        <f>IF(UPPER(G8)="Y",E8,IF(N8=0,F8,F8+(E8-F8)*M8/N8))</f>
        <v/>
      </c>
      <c r="I8" s="25">
        <f>E8-H8</f>
        <v/>
      </c>
      <c r="J8" s="26">
        <f>IFERROR(H8/E8,0)</f>
        <v/>
      </c>
      <c r="K8" s="22" t="inlineStr">
        <is>
          <t>Oct 5 - Oct 6</t>
        </is>
      </c>
      <c r="L8" s="22">
        <f>IF(H8&gt;=E8,"Done",IF(H8&gt;0,"In progress","Not started"))</f>
        <v/>
      </c>
      <c r="M8" s="69">
        <f>COUNTIFS(Kiarra!$I:$I,"*;"&amp;$A8&amp;";*",Kiarra!$H:$H,"Done")+COUNTIFS(Hans!$I:$I,"*;"&amp;$A8&amp;";*",Hans!$H:$H,"Done")+COUNTIFS(Jertz!$I:$I,"*;"&amp;$A8&amp;";*",Jertz!$H:$H,"Done")+COUNTIFS(Ysa!$I:$I,"*;"&amp;$A8&amp;";*",Ysa!$H:$H,"Done")</f>
        <v/>
      </c>
      <c r="N8" s="69">
        <f>COUNTIF(Kiarra!$I:$I,"*;"&amp;$A8&amp;";*")+COUNTIF(Hans!$I:$I,"*;"&amp;$A8&amp;";*")+COUNTIF(Jertz!$I:$I,"*;"&amp;$A8&amp;";*")+COUNTIF(Ysa!$I:$I,"*;"&amp;$A8&amp;";*")</f>
        <v/>
      </c>
    </row>
    <row r="9">
      <c r="A9" s="21" t="inlineStr">
        <is>
          <t>MAINT</t>
        </is>
      </c>
      <c r="B9" s="22" t="inlineStr">
        <is>
          <t>Maintenance Scheduler API (frontend)</t>
        </is>
      </c>
      <c r="C9" s="22" t="inlineStr">
        <is>
          <t>MOD-FE</t>
        </is>
      </c>
      <c r="D9" s="22" t="inlineStr">
        <is>
          <t>Kiarra</t>
        </is>
      </c>
      <c r="E9" s="23" t="n">
        <v>2.517</v>
      </c>
      <c r="F9" s="24" t="n">
        <v>1.888</v>
      </c>
      <c r="G9" s="57" t="inlineStr">
        <is>
          <t>N</t>
        </is>
      </c>
      <c r="H9" s="23">
        <f>IF(UPPER(G9)="Y",E9,IF(N9=0,F9,F9+(E9-F9)*M9/N9))</f>
        <v/>
      </c>
      <c r="I9" s="25">
        <f>E9-H9</f>
        <v/>
      </c>
      <c r="J9" s="26">
        <f>IFERROR(H9/E9,0)</f>
        <v/>
      </c>
      <c r="K9" s="22" t="inlineStr">
        <is>
          <t>Oct 5 - Oct 6</t>
        </is>
      </c>
      <c r="L9" s="22">
        <f>IF(H9&gt;=E9,"Done",IF(H9&gt;0,"In progress","Not started"))</f>
        <v/>
      </c>
      <c r="M9" s="69">
        <f>COUNTIFS(Kiarra!$I:$I,"*;"&amp;$A9&amp;";*",Kiarra!$H:$H,"Done")+COUNTIFS(Hans!$I:$I,"*;"&amp;$A9&amp;";*",Hans!$H:$H,"Done")+COUNTIFS(Jertz!$I:$I,"*;"&amp;$A9&amp;";*",Jertz!$H:$H,"Done")+COUNTIFS(Ysa!$I:$I,"*;"&amp;$A9&amp;";*",Ysa!$H:$H,"Done")</f>
        <v/>
      </c>
      <c r="N9" s="69">
        <f>COUNTIF(Kiarra!$I:$I,"*;"&amp;$A9&amp;";*")+COUNTIF(Hans!$I:$I,"*;"&amp;$A9&amp;";*")+COUNTIF(Jertz!$I:$I,"*;"&amp;$A9&amp;";*")+COUNTIF(Ysa!$I:$I,"*;"&amp;$A9&amp;";*")</f>
        <v/>
      </c>
    </row>
    <row r="10">
      <c r="A10" s="21" t="inlineStr">
        <is>
          <t>MAPCOMP</t>
        </is>
      </c>
      <c r="B10" s="22" t="inlineStr">
        <is>
          <t>Map Comparison API (frontend)</t>
        </is>
      </c>
      <c r="C10" s="22" t="inlineStr">
        <is>
          <t>MOD-FE</t>
        </is>
      </c>
      <c r="D10" s="22" t="inlineStr">
        <is>
          <t>Jertz</t>
        </is>
      </c>
      <c r="E10" s="23" t="n">
        <v>2.832</v>
      </c>
      <c r="F10" s="24" t="n">
        <v>1.573</v>
      </c>
      <c r="G10" s="57" t="inlineStr">
        <is>
          <t>N</t>
        </is>
      </c>
      <c r="H10" s="23">
        <f>IF(UPPER(G10)="Y",E10,IF(N10=0,F10,F10+(E10-F10)*M10/N10))</f>
        <v/>
      </c>
      <c r="I10" s="25">
        <f>E10-H10</f>
        <v/>
      </c>
      <c r="J10" s="26">
        <f>IFERROR(H10/E10,0)</f>
        <v/>
      </c>
      <c r="K10" s="22" t="inlineStr">
        <is>
          <t>Oct 3 - Oct 5</t>
        </is>
      </c>
      <c r="L10" s="22">
        <f>IF(H10&gt;=E10,"Done",IF(H10&gt;0,"In progress","Not started"))</f>
        <v/>
      </c>
      <c r="M10" s="69">
        <f>COUNTIFS(Kiarra!$I:$I,"*;"&amp;$A10&amp;";*",Kiarra!$H:$H,"Done")+COUNTIFS(Hans!$I:$I,"*;"&amp;$A10&amp;";*",Hans!$H:$H,"Done")+COUNTIFS(Jertz!$I:$I,"*;"&amp;$A10&amp;";*",Jertz!$H:$H,"Done")+COUNTIFS(Ysa!$I:$I,"*;"&amp;$A10&amp;";*",Ysa!$H:$H,"Done")</f>
        <v/>
      </c>
      <c r="N10" s="69">
        <f>COUNTIF(Kiarra!$I:$I,"*;"&amp;$A10&amp;";*")+COUNTIF(Hans!$I:$I,"*;"&amp;$A10&amp;";*")+COUNTIF(Jertz!$I:$I,"*;"&amp;$A10&amp;";*")+COUNTIF(Ysa!$I:$I,"*;"&amp;$A10&amp;";*")</f>
        <v/>
      </c>
    </row>
    <row r="11">
      <c r="A11" s="21" t="inlineStr">
        <is>
          <t>SUSTAIN</t>
        </is>
      </c>
      <c r="B11" s="22" t="inlineStr">
        <is>
          <t>Sustainability &amp; Emissions API (frontend)</t>
        </is>
      </c>
      <c r="C11" s="22" t="inlineStr">
        <is>
          <t>MOD-FE</t>
        </is>
      </c>
      <c r="D11" s="22" t="inlineStr">
        <is>
          <t>Hans</t>
        </is>
      </c>
      <c r="E11" s="23" t="n">
        <v>2.517</v>
      </c>
      <c r="F11" s="24" t="n">
        <v>1.259</v>
      </c>
      <c r="G11" s="57" t="inlineStr">
        <is>
          <t>N</t>
        </is>
      </c>
      <c r="H11" s="23">
        <f>IF(UPPER(G11)="Y",E11,IF(N11=0,F11,F11+(E11-F11)*M11/N11))</f>
        <v/>
      </c>
      <c r="I11" s="25">
        <f>E11-H11</f>
        <v/>
      </c>
      <c r="J11" s="26">
        <f>IFERROR(H11/E11,0)</f>
        <v/>
      </c>
      <c r="K11" s="22" t="inlineStr">
        <is>
          <t>Oct 4 - Oct 5</t>
        </is>
      </c>
      <c r="L11" s="22">
        <f>IF(H11&gt;=E11,"Done",IF(H11&gt;0,"In progress","Not started"))</f>
        <v/>
      </c>
      <c r="M11" s="69">
        <f>COUNTIFS(Kiarra!$I:$I,"*;"&amp;$A11&amp;";*",Kiarra!$H:$H,"Done")+COUNTIFS(Hans!$I:$I,"*;"&amp;$A11&amp;";*",Hans!$H:$H,"Done")+COUNTIFS(Jertz!$I:$I,"*;"&amp;$A11&amp;";*",Jertz!$H:$H,"Done")+COUNTIFS(Ysa!$I:$I,"*;"&amp;$A11&amp;";*",Ysa!$H:$H,"Done")</f>
        <v/>
      </c>
      <c r="N11" s="69">
        <f>COUNTIF(Kiarra!$I:$I,"*;"&amp;$A11&amp;";*")+COUNTIF(Hans!$I:$I,"*;"&amp;$A11&amp;";*")+COUNTIF(Jertz!$I:$I,"*;"&amp;$A11&amp;";*")+COUNTIF(Ysa!$I:$I,"*;"&amp;$A11&amp;";*")</f>
        <v/>
      </c>
    </row>
    <row r="12">
      <c r="A12" s="21" t="inlineStr">
        <is>
          <t>DATAUP</t>
        </is>
      </c>
      <c r="B12" s="22" t="inlineStr">
        <is>
          <t>Data Management &amp; Upload Page</t>
        </is>
      </c>
      <c r="C12" s="22" t="inlineStr">
        <is>
          <t>MOD-FE</t>
        </is>
      </c>
      <c r="D12" s="22" t="inlineStr">
        <is>
          <t>Kiarra</t>
        </is>
      </c>
      <c r="E12" s="23" t="n">
        <v>2.517</v>
      </c>
      <c r="F12" s="24" t="n">
        <v>2.517</v>
      </c>
      <c r="G12" s="57" t="inlineStr">
        <is>
          <t>N</t>
        </is>
      </c>
      <c r="H12" s="23">
        <f>IF(UPPER(G12)="Y",E12,IF(N12=0,F12,F12+(E12-F12)*M12/N12))</f>
        <v/>
      </c>
      <c r="I12" s="25">
        <f>E12-H12</f>
        <v/>
      </c>
      <c r="J12" s="26">
        <f>IFERROR(H12/E12,0)</f>
        <v/>
      </c>
      <c r="K12" s="22" t="inlineStr">
        <is>
          <t>Oct 5 - Oct 6</t>
        </is>
      </c>
      <c r="L12" s="22">
        <f>IF(H12&gt;=E12,"Done",IF(H12&gt;0,"In progress","Not started"))</f>
        <v/>
      </c>
      <c r="M12" s="69">
        <f>COUNTIFS(Kiarra!$I:$I,"*;"&amp;$A12&amp;";*",Kiarra!$H:$H,"Done")+COUNTIFS(Hans!$I:$I,"*;"&amp;$A12&amp;";*",Hans!$H:$H,"Done")+COUNTIFS(Jertz!$I:$I,"*;"&amp;$A12&amp;";*",Jertz!$H:$H,"Done")+COUNTIFS(Ysa!$I:$I,"*;"&amp;$A12&amp;";*",Ysa!$H:$H,"Done")</f>
        <v/>
      </c>
      <c r="N12" s="69">
        <f>COUNTIF(Kiarra!$I:$I,"*;"&amp;$A12&amp;";*")+COUNTIF(Hans!$I:$I,"*;"&amp;$A12&amp;";*")+COUNTIF(Jertz!$I:$I,"*;"&amp;$A12&amp;";*")+COUNTIF(Ysa!$I:$I,"*;"&amp;$A12&amp;";*")</f>
        <v/>
      </c>
    </row>
    <row r="13">
      <c r="A13" s="21" t="inlineStr">
        <is>
          <t>AUDIT</t>
        </is>
      </c>
      <c r="B13" s="22" t="inlineStr">
        <is>
          <t>Audit Log API (frontend)</t>
        </is>
      </c>
      <c r="C13" s="22" t="inlineStr">
        <is>
          <t>MOD-FE</t>
        </is>
      </c>
      <c r="D13" s="22" t="inlineStr">
        <is>
          <t>Jertz</t>
        </is>
      </c>
      <c r="E13" s="23" t="n">
        <v>2.203</v>
      </c>
      <c r="F13" s="24" t="n">
        <v>1.573</v>
      </c>
      <c r="G13" s="57" t="inlineStr">
        <is>
          <t>N</t>
        </is>
      </c>
      <c r="H13" s="23">
        <f>IF(UPPER(G13)="Y",E13,IF(N13=0,F13,F13+(E13-F13)*M13/N13))</f>
        <v/>
      </c>
      <c r="I13" s="25">
        <f>E13-H13</f>
        <v/>
      </c>
      <c r="J13" s="26">
        <f>IFERROR(H13/E13,0)</f>
        <v/>
      </c>
      <c r="K13" s="22" t="inlineStr">
        <is>
          <t>Oct 5 - Oct 6</t>
        </is>
      </c>
      <c r="L13" s="22">
        <f>IF(H13&gt;=E13,"Done",IF(H13&gt;0,"In progress","Not started"))</f>
        <v/>
      </c>
      <c r="M13" s="69">
        <f>COUNTIFS(Kiarra!$I:$I,"*;"&amp;$A13&amp;";*",Kiarra!$H:$H,"Done")+COUNTIFS(Hans!$I:$I,"*;"&amp;$A13&amp;";*",Hans!$H:$H,"Done")+COUNTIFS(Jertz!$I:$I,"*;"&amp;$A13&amp;";*",Jertz!$H:$H,"Done")+COUNTIFS(Ysa!$I:$I,"*;"&amp;$A13&amp;";*",Ysa!$H:$H,"Done")</f>
        <v/>
      </c>
      <c r="N13" s="69">
        <f>COUNTIF(Kiarra!$I:$I,"*;"&amp;$A13&amp;";*")+COUNTIF(Hans!$I:$I,"*;"&amp;$A13&amp;";*")+COUNTIF(Jertz!$I:$I,"*;"&amp;$A13&amp;";*")+COUNTIF(Ysa!$I:$I,"*;"&amp;$A13&amp;";*")</f>
        <v/>
      </c>
    </row>
    <row r="14">
      <c r="A14" s="21" t="inlineStr">
        <is>
          <t>AUTH</t>
        </is>
      </c>
      <c r="B14" s="22" t="inlineStr">
        <is>
          <t>Authentication &amp; Session Management (backend/API)</t>
        </is>
      </c>
      <c r="C14" s="22" t="inlineStr">
        <is>
          <t>MOD-BE</t>
        </is>
      </c>
      <c r="D14" s="22" t="inlineStr">
        <is>
          <t>Kiarra</t>
        </is>
      </c>
      <c r="E14" s="23" t="n">
        <v>2.517</v>
      </c>
      <c r="F14" s="24" t="n">
        <v>1.573</v>
      </c>
      <c r="G14" s="57" t="inlineStr">
        <is>
          <t>N</t>
        </is>
      </c>
      <c r="H14" s="23">
        <f>IF(UPPER(G14)="Y",E14,IF(N14=0,F14,F14+(E14-F14)*M14/N14))</f>
        <v/>
      </c>
      <c r="I14" s="25">
        <f>E14-H14</f>
        <v/>
      </c>
      <c r="J14" s="26">
        <f>IFERROR(H14/E14,0)</f>
        <v/>
      </c>
      <c r="K14" s="22" t="inlineStr">
        <is>
          <t>Oct 5 - Oct 6</t>
        </is>
      </c>
      <c r="L14" s="22">
        <f>IF(H14&gt;=E14,"Done",IF(H14&gt;0,"In progress","Not started"))</f>
        <v/>
      </c>
      <c r="M14" s="69">
        <f>COUNTIFS(Kiarra!$I:$I,"*;"&amp;$A14&amp;";*",Kiarra!$H:$H,"Done")+COUNTIFS(Hans!$I:$I,"*;"&amp;$A14&amp;";*",Hans!$H:$H,"Done")+COUNTIFS(Jertz!$I:$I,"*;"&amp;$A14&amp;";*",Jertz!$H:$H,"Done")+COUNTIFS(Ysa!$I:$I,"*;"&amp;$A14&amp;";*",Ysa!$H:$H,"Done")</f>
        <v/>
      </c>
      <c r="N14" s="69">
        <f>COUNTIF(Kiarra!$I:$I,"*;"&amp;$A14&amp;";*")+COUNTIF(Hans!$I:$I,"*;"&amp;$A14&amp;";*")+COUNTIF(Jertz!$I:$I,"*;"&amp;$A14&amp;";*")+COUNTIF(Ysa!$I:$I,"*;"&amp;$A14&amp;";*")</f>
        <v/>
      </c>
    </row>
    <row r="15">
      <c r="A15" s="21" t="inlineStr">
        <is>
          <t>TRAFFIC</t>
        </is>
      </c>
      <c r="B15" s="22" t="inlineStr">
        <is>
          <t>Traffic Overview Dashboard (backend/API)</t>
        </is>
      </c>
      <c r="C15" s="22" t="inlineStr">
        <is>
          <t>MOD-BE</t>
        </is>
      </c>
      <c r="D15" s="22" t="inlineStr">
        <is>
          <t>Hans</t>
        </is>
      </c>
      <c r="E15" s="23" t="n">
        <v>2.203</v>
      </c>
      <c r="F15" s="24" t="n">
        <v>2.203</v>
      </c>
      <c r="G15" s="57" t="inlineStr">
        <is>
          <t>N</t>
        </is>
      </c>
      <c r="H15" s="23">
        <f>IF(UPPER(G15)="Y",E15,IF(N15=0,F15,F15+(E15-F15)*M15/N15))</f>
        <v/>
      </c>
      <c r="I15" s="25">
        <f>E15-H15</f>
        <v/>
      </c>
      <c r="J15" s="26">
        <f>IFERROR(H15/E15,0)</f>
        <v/>
      </c>
      <c r="K15" s="22" t="inlineStr">
        <is>
          <t>Oct 5 - Oct 6</t>
        </is>
      </c>
      <c r="L15" s="22">
        <f>IF(H15&gt;=E15,"Done",IF(H15&gt;0,"In progress","Not started"))</f>
        <v/>
      </c>
      <c r="M15" s="69">
        <f>COUNTIFS(Kiarra!$I:$I,"*;"&amp;$A15&amp;";*",Kiarra!$H:$H,"Done")+COUNTIFS(Hans!$I:$I,"*;"&amp;$A15&amp;";*",Hans!$H:$H,"Done")+COUNTIFS(Jertz!$I:$I,"*;"&amp;$A15&amp;";*",Jertz!$H:$H,"Done")+COUNTIFS(Ysa!$I:$I,"*;"&amp;$A15&amp;";*",Ysa!$H:$H,"Done")</f>
        <v/>
      </c>
      <c r="N15" s="69">
        <f>COUNTIF(Kiarra!$I:$I,"*;"&amp;$A15&amp;";*")+COUNTIF(Hans!$I:$I,"*;"&amp;$A15&amp;";*")+COUNTIF(Jertz!$I:$I,"*;"&amp;$A15&amp;";*")+COUNTIF(Ysa!$I:$I,"*;"&amp;$A15&amp;";*")</f>
        <v/>
      </c>
    </row>
    <row r="16">
      <c r="A16" s="21" t="inlineStr">
        <is>
          <t>INCIDENT</t>
        </is>
      </c>
      <c r="B16" s="22" t="inlineStr">
        <is>
          <t>Incident Data API Endpoints (backend/API)</t>
        </is>
      </c>
      <c r="C16" s="22" t="inlineStr">
        <is>
          <t>MOD-BE</t>
        </is>
      </c>
      <c r="D16" s="22" t="inlineStr">
        <is>
          <t>Jertz</t>
        </is>
      </c>
      <c r="E16" s="23" t="n">
        <v>2.203</v>
      </c>
      <c r="F16" s="24" t="n">
        <v>2.203</v>
      </c>
      <c r="G16" s="57" t="inlineStr">
        <is>
          <t>N</t>
        </is>
      </c>
      <c r="H16" s="23">
        <f>IF(UPPER(G16)="Y",E16,IF(N16=0,F16,F16+(E16-F16)*M16/N16))</f>
        <v/>
      </c>
      <c r="I16" s="25">
        <f>E16-H16</f>
        <v/>
      </c>
      <c r="J16" s="26">
        <f>IFERROR(H16/E16,0)</f>
        <v/>
      </c>
      <c r="K16" s="22" t="inlineStr">
        <is>
          <t>Oct 5 - Oct 6</t>
        </is>
      </c>
      <c r="L16" s="22">
        <f>IF(H16&gt;=E16,"Done",IF(H16&gt;0,"In progress","Not started"))</f>
        <v/>
      </c>
      <c r="M16" s="69">
        <f>COUNTIFS(Kiarra!$I:$I,"*;"&amp;$A16&amp;";*",Kiarra!$H:$H,"Done")+COUNTIFS(Hans!$I:$I,"*;"&amp;$A16&amp;";*",Hans!$H:$H,"Done")+COUNTIFS(Jertz!$I:$I,"*;"&amp;$A16&amp;";*",Jertz!$H:$H,"Done")+COUNTIFS(Ysa!$I:$I,"*;"&amp;$A16&amp;";*",Ysa!$H:$H,"Done")</f>
        <v/>
      </c>
      <c r="N16" s="69">
        <f>COUNTIF(Kiarra!$I:$I,"*;"&amp;$A16&amp;";*")+COUNTIF(Hans!$I:$I,"*;"&amp;$A16&amp;";*")+COUNTIF(Jertz!$I:$I,"*;"&amp;$A16&amp;";*")+COUNTIF(Ysa!$I:$I,"*;"&amp;$A16&amp;";*")</f>
        <v/>
      </c>
    </row>
    <row r="17">
      <c r="A17" s="21" t="inlineStr">
        <is>
          <t>SANDBOX</t>
        </is>
      </c>
      <c r="B17" s="22" t="inlineStr">
        <is>
          <t>AI Traffic Sandbox API (backend/API)</t>
        </is>
      </c>
      <c r="C17" s="22" t="inlineStr">
        <is>
          <t>MOD-BE</t>
        </is>
      </c>
      <c r="D17" s="22" t="inlineStr">
        <is>
          <t>Ysa</t>
        </is>
      </c>
      <c r="E17" s="23" t="n">
        <v>2.203</v>
      </c>
      <c r="F17" s="24" t="n">
        <v>1.573</v>
      </c>
      <c r="G17" s="57" t="inlineStr">
        <is>
          <t>N</t>
        </is>
      </c>
      <c r="H17" s="23">
        <f>IF(UPPER(G17)="Y",E17,IF(N17=0,F17,F17+(E17-F17)*M17/N17))</f>
        <v/>
      </c>
      <c r="I17" s="25">
        <f>E17-H17</f>
        <v/>
      </c>
      <c r="J17" s="26">
        <f>IFERROR(H17/E17,0)</f>
        <v/>
      </c>
      <c r="K17" s="22" t="inlineStr">
        <is>
          <t>Oct 5 - Oct 6</t>
        </is>
      </c>
      <c r="L17" s="22">
        <f>IF(H17&gt;=E17,"Done",IF(H17&gt;0,"In progress","Not started"))</f>
        <v/>
      </c>
      <c r="M17" s="69">
        <f>COUNTIFS(Kiarra!$I:$I,"*;"&amp;$A17&amp;";*",Kiarra!$H:$H,"Done")+COUNTIFS(Hans!$I:$I,"*;"&amp;$A17&amp;";*",Hans!$H:$H,"Done")+COUNTIFS(Jertz!$I:$I,"*;"&amp;$A17&amp;";*",Jertz!$H:$H,"Done")+COUNTIFS(Ysa!$I:$I,"*;"&amp;$A17&amp;";*",Ysa!$H:$H,"Done")</f>
        <v/>
      </c>
      <c r="N17" s="69">
        <f>COUNTIF(Kiarra!$I:$I,"*;"&amp;$A17&amp;";*")+COUNTIF(Hans!$I:$I,"*;"&amp;$A17&amp;";*")+COUNTIF(Jertz!$I:$I,"*;"&amp;$A17&amp;";*")+COUNTIF(Ysa!$I:$I,"*;"&amp;$A17&amp;";*")</f>
        <v/>
      </c>
    </row>
    <row r="18">
      <c r="A18" s="21" t="inlineStr">
        <is>
          <t>MAINT</t>
        </is>
      </c>
      <c r="B18" s="22" t="inlineStr">
        <is>
          <t>Maintenance Scheduler API (backend/API)</t>
        </is>
      </c>
      <c r="C18" s="22" t="inlineStr">
        <is>
          <t>MOD-BE</t>
        </is>
      </c>
      <c r="D18" s="22" t="inlineStr">
        <is>
          <t>Kiarra</t>
        </is>
      </c>
      <c r="E18" s="23" t="n">
        <v>2.203</v>
      </c>
      <c r="F18" s="24" t="n">
        <v>1.573</v>
      </c>
      <c r="G18" s="57" t="inlineStr">
        <is>
          <t>N</t>
        </is>
      </c>
      <c r="H18" s="23">
        <f>IF(UPPER(G18)="Y",E18,IF(N18=0,F18,F18+(E18-F18)*M18/N18))</f>
        <v/>
      </c>
      <c r="I18" s="25">
        <f>E18-H18</f>
        <v/>
      </c>
      <c r="J18" s="26">
        <f>IFERROR(H18/E18,0)</f>
        <v/>
      </c>
      <c r="K18" s="22" t="inlineStr">
        <is>
          <t>Oct 5 - Oct 6</t>
        </is>
      </c>
      <c r="L18" s="22">
        <f>IF(H18&gt;=E18,"Done",IF(H18&gt;0,"In progress","Not started"))</f>
        <v/>
      </c>
      <c r="M18" s="69">
        <f>COUNTIFS(Kiarra!$I:$I,"*;"&amp;$A18&amp;";*",Kiarra!$H:$H,"Done")+COUNTIFS(Hans!$I:$I,"*;"&amp;$A18&amp;";*",Hans!$H:$H,"Done")+COUNTIFS(Jertz!$I:$I,"*;"&amp;$A18&amp;";*",Jertz!$H:$H,"Done")+COUNTIFS(Ysa!$I:$I,"*;"&amp;$A18&amp;";*",Ysa!$H:$H,"Done")</f>
        <v/>
      </c>
      <c r="N18" s="69">
        <f>COUNTIF(Kiarra!$I:$I,"*;"&amp;$A18&amp;";*")+COUNTIF(Hans!$I:$I,"*;"&amp;$A18&amp;";*")+COUNTIF(Jertz!$I:$I,"*;"&amp;$A18&amp;";*")+COUNTIF(Ysa!$I:$I,"*;"&amp;$A18&amp;";*")</f>
        <v/>
      </c>
    </row>
    <row r="19">
      <c r="A19" s="21" t="inlineStr">
        <is>
          <t>MAPCOMP</t>
        </is>
      </c>
      <c r="B19" s="22" t="inlineStr">
        <is>
          <t>Map Comparison API (backend/API)</t>
        </is>
      </c>
      <c r="C19" s="22" t="inlineStr">
        <is>
          <t>MOD-BE</t>
        </is>
      </c>
      <c r="D19" s="22" t="inlineStr">
        <is>
          <t>Jertz</t>
        </is>
      </c>
      <c r="E19" s="23" t="n">
        <v>2.517</v>
      </c>
      <c r="F19" s="24" t="n">
        <v>1.573</v>
      </c>
      <c r="G19" s="57" t="inlineStr">
        <is>
          <t>N</t>
        </is>
      </c>
      <c r="H19" s="23">
        <f>IF(UPPER(G19)="Y",E19,IF(N19=0,F19,F19+(E19-F19)*M19/N19))</f>
        <v/>
      </c>
      <c r="I19" s="25">
        <f>E19-H19</f>
        <v/>
      </c>
      <c r="J19" s="26">
        <f>IFERROR(H19/E19,0)</f>
        <v/>
      </c>
      <c r="K19" s="22" t="inlineStr">
        <is>
          <t>Oct 3 - Oct 5</t>
        </is>
      </c>
      <c r="L19" s="22">
        <f>IF(H19&gt;=E19,"Done",IF(H19&gt;0,"In progress","Not started"))</f>
        <v/>
      </c>
      <c r="M19" s="69">
        <f>COUNTIFS(Kiarra!$I:$I,"*;"&amp;$A19&amp;";*",Kiarra!$H:$H,"Done")+COUNTIFS(Hans!$I:$I,"*;"&amp;$A19&amp;";*",Hans!$H:$H,"Done")+COUNTIFS(Jertz!$I:$I,"*;"&amp;$A19&amp;";*",Jertz!$H:$H,"Done")+COUNTIFS(Ysa!$I:$I,"*;"&amp;$A19&amp;";*",Ysa!$H:$H,"Done")</f>
        <v/>
      </c>
      <c r="N19" s="69">
        <f>COUNTIF(Kiarra!$I:$I,"*;"&amp;$A19&amp;";*")+COUNTIF(Hans!$I:$I,"*;"&amp;$A19&amp;";*")+COUNTIF(Jertz!$I:$I,"*;"&amp;$A19&amp;";*")+COUNTIF(Ysa!$I:$I,"*;"&amp;$A19&amp;";*")</f>
        <v/>
      </c>
    </row>
    <row r="20">
      <c r="A20" s="21" t="inlineStr">
        <is>
          <t>SUSTAIN</t>
        </is>
      </c>
      <c r="B20" s="22" t="inlineStr">
        <is>
          <t>Sustainability &amp; Emissions API (backend/API)</t>
        </is>
      </c>
      <c r="C20" s="22" t="inlineStr">
        <is>
          <t>MOD-BE</t>
        </is>
      </c>
      <c r="D20" s="22" t="inlineStr">
        <is>
          <t>Hans</t>
        </is>
      </c>
      <c r="E20" s="23" t="n">
        <v>1.888</v>
      </c>
      <c r="F20" s="24" t="n">
        <v>1.888</v>
      </c>
      <c r="G20" s="57" t="inlineStr">
        <is>
          <t>N</t>
        </is>
      </c>
      <c r="H20" s="23">
        <f>IF(UPPER(G20)="Y",E20,IF(N20=0,F20,F20+(E20-F20)*M20/N20))</f>
        <v/>
      </c>
      <c r="I20" s="25">
        <f>E20-H20</f>
        <v/>
      </c>
      <c r="J20" s="26">
        <f>IFERROR(H20/E20,0)</f>
        <v/>
      </c>
      <c r="K20" s="22" t="inlineStr">
        <is>
          <t>Oct 4 - Oct 5</t>
        </is>
      </c>
      <c r="L20" s="22">
        <f>IF(H20&gt;=E20,"Done",IF(H20&gt;0,"In progress","Not started"))</f>
        <v/>
      </c>
      <c r="M20" s="69">
        <f>COUNTIFS(Kiarra!$I:$I,"*;"&amp;$A20&amp;";*",Kiarra!$H:$H,"Done")+COUNTIFS(Hans!$I:$I,"*;"&amp;$A20&amp;";*",Hans!$H:$H,"Done")+COUNTIFS(Jertz!$I:$I,"*;"&amp;$A20&amp;";*",Jertz!$H:$H,"Done")+COUNTIFS(Ysa!$I:$I,"*;"&amp;$A20&amp;";*",Ysa!$H:$H,"Done")</f>
        <v/>
      </c>
      <c r="N20" s="69">
        <f>COUNTIF(Kiarra!$I:$I,"*;"&amp;$A20&amp;";*")+COUNTIF(Hans!$I:$I,"*;"&amp;$A20&amp;";*")+COUNTIF(Jertz!$I:$I,"*;"&amp;$A20&amp;";*")+COUNTIF(Ysa!$I:$I,"*;"&amp;$A20&amp;";*")</f>
        <v/>
      </c>
    </row>
    <row r="21">
      <c r="A21" s="21" t="inlineStr">
        <is>
          <t>UPLOAD</t>
        </is>
      </c>
      <c r="B21" s="22" t="inlineStr">
        <is>
          <t>Data Upload &amp; Validation API</t>
        </is>
      </c>
      <c r="C21" s="22" t="inlineStr">
        <is>
          <t>MOD-BE</t>
        </is>
      </c>
      <c r="D21" s="22" t="inlineStr">
        <is>
          <t>Ysa</t>
        </is>
      </c>
      <c r="E21" s="23" t="n">
        <v>2.203</v>
      </c>
      <c r="F21" s="24" t="n">
        <v>1.888</v>
      </c>
      <c r="G21" s="57" t="inlineStr">
        <is>
          <t>N</t>
        </is>
      </c>
      <c r="H21" s="23">
        <f>IF(UPPER(G21)="Y",E21,IF(N21=0,F21,F21+(E21-F21)*M21/N21))</f>
        <v/>
      </c>
      <c r="I21" s="25">
        <f>E21-H21</f>
        <v/>
      </c>
      <c r="J21" s="26">
        <f>IFERROR(H21/E21,0)</f>
        <v/>
      </c>
      <c r="K21" s="22" t="inlineStr">
        <is>
          <t>Oct 5 - Oct 6</t>
        </is>
      </c>
      <c r="L21" s="22">
        <f>IF(H21&gt;=E21,"Done",IF(H21&gt;0,"In progress","Not started"))</f>
        <v/>
      </c>
      <c r="M21" s="69">
        <f>COUNTIFS(Kiarra!$I:$I,"*;"&amp;$A21&amp;";*",Kiarra!$H:$H,"Done")+COUNTIFS(Hans!$I:$I,"*;"&amp;$A21&amp;";*",Hans!$H:$H,"Done")+COUNTIFS(Jertz!$I:$I,"*;"&amp;$A21&amp;";*",Jertz!$H:$H,"Done")+COUNTIFS(Ysa!$I:$I,"*;"&amp;$A21&amp;";*",Ysa!$H:$H,"Done")</f>
        <v/>
      </c>
      <c r="N21" s="69">
        <f>COUNTIF(Kiarra!$I:$I,"*;"&amp;$A21&amp;";*")+COUNTIF(Hans!$I:$I,"*;"&amp;$A21&amp;";*")+COUNTIF(Jertz!$I:$I,"*;"&amp;$A21&amp;";*")+COUNTIF(Ysa!$I:$I,"*;"&amp;$A21&amp;";*")</f>
        <v/>
      </c>
    </row>
    <row r="22">
      <c r="A22" s="21" t="inlineStr">
        <is>
          <t>REALTIME</t>
        </is>
      </c>
      <c r="B22" s="22" t="inlineStr">
        <is>
          <t>Redis Realtime &amp; Event Streaming</t>
        </is>
      </c>
      <c r="C22" s="22" t="inlineStr">
        <is>
          <t>MOD-BE</t>
        </is>
      </c>
      <c r="D22" s="22" t="inlineStr">
        <is>
          <t>Ysa</t>
        </is>
      </c>
      <c r="E22" s="23" t="n">
        <v>2.203</v>
      </c>
      <c r="F22" s="24" t="n">
        <v>1.573</v>
      </c>
      <c r="G22" s="57" t="inlineStr">
        <is>
          <t>N</t>
        </is>
      </c>
      <c r="H22" s="23">
        <f>IF(UPPER(G22)="Y",E22,IF(N22=0,F22,F22+(E22-F22)*M22/N22))</f>
        <v/>
      </c>
      <c r="I22" s="25">
        <f>E22-H22</f>
        <v/>
      </c>
      <c r="J22" s="26">
        <f>IFERROR(H22/E22,0)</f>
        <v/>
      </c>
      <c r="K22" s="22" t="inlineStr">
        <is>
          <t>Oct 5 - Oct 6</t>
        </is>
      </c>
      <c r="L22" s="22">
        <f>IF(H22&gt;=E22,"Done",IF(H22&gt;0,"In progress","Not started"))</f>
        <v/>
      </c>
      <c r="M22" s="69">
        <f>COUNTIFS(Kiarra!$I:$I,"*;"&amp;$A22&amp;";*",Kiarra!$H:$H,"Done")+COUNTIFS(Hans!$I:$I,"*;"&amp;$A22&amp;";*",Hans!$H:$H,"Done")+COUNTIFS(Jertz!$I:$I,"*;"&amp;$A22&amp;";*",Jertz!$H:$H,"Done")+COUNTIFS(Ysa!$I:$I,"*;"&amp;$A22&amp;";*",Ysa!$H:$H,"Done")</f>
        <v/>
      </c>
      <c r="N22" s="69">
        <f>COUNTIF(Kiarra!$I:$I,"*;"&amp;$A22&amp;";*")+COUNTIF(Hans!$I:$I,"*;"&amp;$A22&amp;";*")+COUNTIF(Jertz!$I:$I,"*;"&amp;$A22&amp;";*")+COUNTIF(Ysa!$I:$I,"*;"&amp;$A22&amp;";*")</f>
        <v/>
      </c>
    </row>
    <row r="23">
      <c r="A23" s="21" t="inlineStr">
        <is>
          <t>AUDIT</t>
        </is>
      </c>
      <c r="B23" s="22" t="inlineStr">
        <is>
          <t>Audit Log API (backend/API)</t>
        </is>
      </c>
      <c r="C23" s="22" t="inlineStr">
        <is>
          <t>MOD-BE</t>
        </is>
      </c>
      <c r="D23" s="22" t="inlineStr">
        <is>
          <t>Jertz</t>
        </is>
      </c>
      <c r="E23" s="23" t="n">
        <v>2.203</v>
      </c>
      <c r="F23" s="24" t="n">
        <v>1.573</v>
      </c>
      <c r="G23" s="57" t="inlineStr">
        <is>
          <t>N</t>
        </is>
      </c>
      <c r="H23" s="23">
        <f>IF(UPPER(G23)="Y",E23,IF(N23=0,F23,F23+(E23-F23)*M23/N23))</f>
        <v/>
      </c>
      <c r="I23" s="25">
        <f>E23-H23</f>
        <v/>
      </c>
      <c r="J23" s="26">
        <f>IFERROR(H23/E23,0)</f>
        <v/>
      </c>
      <c r="K23" s="22" t="inlineStr">
        <is>
          <t>Oct 5 - Oct 6</t>
        </is>
      </c>
      <c r="L23" s="22">
        <f>IF(H23&gt;=E23,"Done",IF(H23&gt;0,"In progress","Not started"))</f>
        <v/>
      </c>
      <c r="M23" s="69">
        <f>COUNTIFS(Kiarra!$I:$I,"*;"&amp;$A23&amp;";*",Kiarra!$H:$H,"Done")+COUNTIFS(Hans!$I:$I,"*;"&amp;$A23&amp;";*",Hans!$H:$H,"Done")+COUNTIFS(Jertz!$I:$I,"*;"&amp;$A23&amp;";*",Jertz!$H:$H,"Done")+COUNTIFS(Ysa!$I:$I,"*;"&amp;$A23&amp;";*",Ysa!$H:$H,"Done")</f>
        <v/>
      </c>
      <c r="N23" s="69">
        <f>COUNTIF(Kiarra!$I:$I,"*;"&amp;$A23&amp;";*")+COUNTIF(Hans!$I:$I,"*;"&amp;$A23&amp;";*")+COUNTIF(Jertz!$I:$I,"*;"&amp;$A23&amp;";*")+COUNTIF(Ysa!$I:$I,"*;"&amp;$A23&amp;";*")</f>
        <v/>
      </c>
    </row>
    <row r="24">
      <c r="A24" s="21" t="inlineStr">
        <is>
          <t>MODEVAL</t>
        </is>
      </c>
      <c r="B24" s="22" t="inlineStr">
        <is>
          <t>Model Evaluation &amp; Validation</t>
        </is>
      </c>
      <c r="C24" s="22" t="inlineStr">
        <is>
          <t>MOD-ANA</t>
        </is>
      </c>
      <c r="D24" s="22" t="inlineStr">
        <is>
          <t>Hans</t>
        </is>
      </c>
      <c r="E24" s="23" t="n">
        <v>4.406</v>
      </c>
      <c r="F24" s="24" t="n">
        <v>1.888</v>
      </c>
      <c r="G24" s="57" t="inlineStr">
        <is>
          <t>N</t>
        </is>
      </c>
      <c r="H24" s="23">
        <f>IF(UPPER(G24)="Y",E24,IF(N24=0,F24,F24+(E24-F24)*M24/N24))</f>
        <v/>
      </c>
      <c r="I24" s="25">
        <f>E24-H24</f>
        <v/>
      </c>
      <c r="J24" s="26">
        <f>IFERROR(H24/E24,0)</f>
        <v/>
      </c>
      <c r="K24" s="22" t="inlineStr">
        <is>
          <t>Sep 29 - Oct 3</t>
        </is>
      </c>
      <c r="L24" s="22">
        <f>IF(H24&gt;=E24,"Done",IF(H24&gt;0,"In progress","Not started"))</f>
        <v/>
      </c>
      <c r="M24" s="69">
        <f>COUNTIFS(Kiarra!$I:$I,"*;"&amp;$A24&amp;";*",Kiarra!$H:$H,"Done")+COUNTIFS(Hans!$I:$I,"*;"&amp;$A24&amp;";*",Hans!$H:$H,"Done")+COUNTIFS(Jertz!$I:$I,"*;"&amp;$A24&amp;";*",Jertz!$H:$H,"Done")+COUNTIFS(Ysa!$I:$I,"*;"&amp;$A24&amp;";*",Ysa!$H:$H,"Done")</f>
        <v/>
      </c>
      <c r="N24" s="69">
        <f>COUNTIF(Kiarra!$I:$I,"*;"&amp;$A24&amp;";*")+COUNTIF(Hans!$I:$I,"*;"&amp;$A24&amp;";*")+COUNTIF(Jertz!$I:$I,"*;"&amp;$A24&amp;";*")+COUNTIF(Ysa!$I:$I,"*;"&amp;$A24&amp;";*")</f>
        <v/>
      </c>
    </row>
    <row r="25">
      <c r="A25" s="21" t="inlineStr">
        <is>
          <t>TRAFFICDESC</t>
        </is>
      </c>
      <c r="B25" s="22" t="inlineStr">
        <is>
          <t>Traffic Volume Descriptive Analytics</t>
        </is>
      </c>
      <c r="C25" s="22" t="inlineStr">
        <is>
          <t>MOD-ANA</t>
        </is>
      </c>
      <c r="D25" s="22" t="inlineStr">
        <is>
          <t>Hans</t>
        </is>
      </c>
      <c r="E25" s="23" t="n">
        <v>2.832</v>
      </c>
      <c r="F25" s="24" t="n">
        <v>2.517</v>
      </c>
      <c r="G25" s="57" t="inlineStr">
        <is>
          <t>N</t>
        </is>
      </c>
      <c r="H25" s="23">
        <f>IF(UPPER(G25)="Y",E25,IF(N25=0,F25,F25+(E25-F25)*M25/N25))</f>
        <v/>
      </c>
      <c r="I25" s="25">
        <f>E25-H25</f>
        <v/>
      </c>
      <c r="J25" s="26">
        <f>IFERROR(H25/E25,0)</f>
        <v/>
      </c>
      <c r="K25" s="22" t="inlineStr">
        <is>
          <t>Oct 5 - Oct 6</t>
        </is>
      </c>
      <c r="L25" s="22">
        <f>IF(H25&gt;=E25,"Done",IF(H25&gt;0,"In progress","Not started"))</f>
        <v/>
      </c>
      <c r="M25" s="69">
        <f>COUNTIFS(Kiarra!$I:$I,"*;"&amp;$A25&amp;";*",Kiarra!$H:$H,"Done")+COUNTIFS(Hans!$I:$I,"*;"&amp;$A25&amp;";*",Hans!$H:$H,"Done")+COUNTIFS(Jertz!$I:$I,"*;"&amp;$A25&amp;";*",Jertz!$H:$H,"Done")+COUNTIFS(Ysa!$I:$I,"*;"&amp;$A25&amp;";*",Ysa!$H:$H,"Done")</f>
        <v/>
      </c>
      <c r="N25" s="69">
        <f>COUNTIF(Kiarra!$I:$I,"*;"&amp;$A25&amp;";*")+COUNTIF(Hans!$I:$I,"*;"&amp;$A25&amp;";*")+COUNTIF(Jertz!$I:$I,"*;"&amp;$A25&amp;";*")+COUNTIF(Ysa!$I:$I,"*;"&amp;$A25&amp;";*")</f>
        <v/>
      </c>
    </row>
    <row r="26">
      <c r="A26" s="21" t="inlineStr">
        <is>
          <t>INCIDENTDESC</t>
        </is>
      </c>
      <c r="B26" s="22" t="inlineStr">
        <is>
          <t>Incident Descriptive Analytics</t>
        </is>
      </c>
      <c r="C26" s="22" t="inlineStr">
        <is>
          <t>MOD-ANA</t>
        </is>
      </c>
      <c r="D26" s="22" t="inlineStr">
        <is>
          <t>Jertz</t>
        </is>
      </c>
      <c r="E26" s="23" t="n">
        <v>3.147</v>
      </c>
      <c r="F26" s="24" t="n">
        <v>2.832</v>
      </c>
      <c r="G26" s="57" t="inlineStr">
        <is>
          <t>N</t>
        </is>
      </c>
      <c r="H26" s="23">
        <f>IF(UPPER(G26)="Y",E26,IF(N26=0,F26,F26+(E26-F26)*M26/N26))</f>
        <v/>
      </c>
      <c r="I26" s="25">
        <f>E26-H26</f>
        <v/>
      </c>
      <c r="J26" s="26">
        <f>IFERROR(H26/E26,0)</f>
        <v/>
      </c>
      <c r="K26" s="22" t="inlineStr">
        <is>
          <t>Oct 5 - Oct 6</t>
        </is>
      </c>
      <c r="L26" s="22">
        <f>IF(H26&gt;=E26,"Done",IF(H26&gt;0,"In progress","Not started"))</f>
        <v/>
      </c>
      <c r="M26" s="69">
        <f>COUNTIFS(Kiarra!$I:$I,"*;"&amp;$A26&amp;";*",Kiarra!$H:$H,"Done")+COUNTIFS(Hans!$I:$I,"*;"&amp;$A26&amp;";*",Hans!$H:$H,"Done")+COUNTIFS(Jertz!$I:$I,"*;"&amp;$A26&amp;";*",Jertz!$H:$H,"Done")+COUNTIFS(Ysa!$I:$I,"*;"&amp;$A26&amp;";*",Ysa!$H:$H,"Done")</f>
        <v/>
      </c>
      <c r="N26" s="69">
        <f>COUNTIF(Kiarra!$I:$I,"*;"&amp;$A26&amp;";*")+COUNTIF(Hans!$I:$I,"*;"&amp;$A26&amp;";*")+COUNTIF(Jertz!$I:$I,"*;"&amp;$A26&amp;";*")+COUNTIF(Ysa!$I:$I,"*;"&amp;$A26&amp;";*")</f>
        <v/>
      </c>
    </row>
    <row r="27">
      <c r="A27" s="21" t="inlineStr">
        <is>
          <t>EMISSDESC</t>
        </is>
      </c>
      <c r="B27" s="22" t="inlineStr">
        <is>
          <t>Emissions &amp; Sustainability Descriptive Analytics</t>
        </is>
      </c>
      <c r="C27" s="22" t="inlineStr">
        <is>
          <t>MOD-ANA</t>
        </is>
      </c>
      <c r="D27" s="22" t="inlineStr">
        <is>
          <t>Hans</t>
        </is>
      </c>
      <c r="E27" s="23" t="n">
        <v>3.147</v>
      </c>
      <c r="F27" s="24" t="n">
        <v>2.832</v>
      </c>
      <c r="G27" s="57" t="inlineStr">
        <is>
          <t>N</t>
        </is>
      </c>
      <c r="H27" s="23">
        <f>IF(UPPER(G27)="Y",E27,IF(N27=0,F27,F27+(E27-F27)*M27/N27))</f>
        <v/>
      </c>
      <c r="I27" s="25">
        <f>E27-H27</f>
        <v/>
      </c>
      <c r="J27" s="26">
        <f>IFERROR(H27/E27,0)</f>
        <v/>
      </c>
      <c r="K27" s="22" t="inlineStr">
        <is>
          <t>Oct 5 - Oct 6</t>
        </is>
      </c>
      <c r="L27" s="22">
        <f>IF(H27&gt;=E27,"Done",IF(H27&gt;0,"In progress","Not started"))</f>
        <v/>
      </c>
      <c r="M27" s="69">
        <f>COUNTIFS(Kiarra!$I:$I,"*;"&amp;$A27&amp;";*",Kiarra!$H:$H,"Done")+COUNTIFS(Hans!$I:$I,"*;"&amp;$A27&amp;";*",Hans!$H:$H,"Done")+COUNTIFS(Jertz!$I:$I,"*;"&amp;$A27&amp;";*",Jertz!$H:$H,"Done")+COUNTIFS(Ysa!$I:$I,"*;"&amp;$A27&amp;";*",Ysa!$H:$H,"Done")</f>
        <v/>
      </c>
      <c r="N27" s="69">
        <f>COUNTIF(Kiarra!$I:$I,"*;"&amp;$A27&amp;";*")+COUNTIF(Hans!$I:$I,"*;"&amp;$A27&amp;";*")+COUNTIF(Jertz!$I:$I,"*;"&amp;$A27&amp;";*")+COUNTIF(Ysa!$I:$I,"*;"&amp;$A27&amp;";*")</f>
        <v/>
      </c>
    </row>
    <row r="28">
      <c r="A28" s="21" t="inlineStr">
        <is>
          <t>TRAFFICFC</t>
        </is>
      </c>
      <c r="B28" s="22" t="inlineStr">
        <is>
          <t>Traffic Volume Predictive Model</t>
        </is>
      </c>
      <c r="C28" s="22" t="inlineStr">
        <is>
          <t>MOD-ANA</t>
        </is>
      </c>
      <c r="D28" s="22" t="inlineStr">
        <is>
          <t>Hans</t>
        </is>
      </c>
      <c r="E28" s="23" t="n">
        <v>3.462</v>
      </c>
      <c r="F28" s="24" t="n">
        <v>2.832</v>
      </c>
      <c r="G28" s="57" t="inlineStr">
        <is>
          <t>N</t>
        </is>
      </c>
      <c r="H28" s="23">
        <f>IF(UPPER(G28)="Y",E28,IF(N28=0,F28,F28+(E28-F28)*M28/N28))</f>
        <v/>
      </c>
      <c r="I28" s="25">
        <f>E28-H28</f>
        <v/>
      </c>
      <c r="J28" s="26">
        <f>IFERROR(H28/E28,0)</f>
        <v/>
      </c>
      <c r="K28" s="22" t="inlineStr">
        <is>
          <t>Oct 5 - Oct 6</t>
        </is>
      </c>
      <c r="L28" s="22">
        <f>IF(H28&gt;=E28,"Done",IF(H28&gt;0,"In progress","Not started"))</f>
        <v/>
      </c>
      <c r="M28" s="69">
        <f>COUNTIFS(Kiarra!$I:$I,"*;"&amp;$A28&amp;";*",Kiarra!$H:$H,"Done")+COUNTIFS(Hans!$I:$I,"*;"&amp;$A28&amp;";*",Hans!$H:$H,"Done")+COUNTIFS(Jertz!$I:$I,"*;"&amp;$A28&amp;";*",Jertz!$H:$H,"Done")+COUNTIFS(Ysa!$I:$I,"*;"&amp;$A28&amp;";*",Ysa!$H:$H,"Done")</f>
        <v/>
      </c>
      <c r="N28" s="69">
        <f>COUNTIF(Kiarra!$I:$I,"*;"&amp;$A28&amp;";*")+COUNTIF(Hans!$I:$I,"*;"&amp;$A28&amp;";*")+COUNTIF(Jertz!$I:$I,"*;"&amp;$A28&amp;";*")+COUNTIF(Ysa!$I:$I,"*;"&amp;$A28&amp;";*")</f>
        <v/>
      </c>
    </row>
    <row r="29">
      <c r="A29" s="21" t="inlineStr">
        <is>
          <t>INCIDENTFC</t>
        </is>
      </c>
      <c r="B29" s="22" t="inlineStr">
        <is>
          <t>Incident Predictive Model — re-scored 15 Oct: NegBinomial_GLM champion, 7 models benchmarked, 90-day forecast live; EVAL-01 and DEP-01 evidenced. UAT-01 and MS-01 outstanding.</t>
        </is>
      </c>
      <c r="C29" s="22" t="inlineStr">
        <is>
          <t>MOD-ANA</t>
        </is>
      </c>
      <c r="D29" s="22" t="inlineStr">
        <is>
          <t>Jertz</t>
        </is>
      </c>
      <c r="E29" s="23" t="n">
        <v>2.832</v>
      </c>
      <c r="F29" s="24" t="n">
        <v>2.264</v>
      </c>
      <c r="G29" s="57" t="inlineStr">
        <is>
          <t>N</t>
        </is>
      </c>
      <c r="H29" s="23">
        <f>IF(UPPER(G29)="Y",E29,IF(N29=0,F29,F29+(E29-F29)*M29/N29))</f>
        <v/>
      </c>
      <c r="I29" s="25">
        <f>E29-H29</f>
        <v/>
      </c>
      <c r="J29" s="26">
        <f>IFERROR(H29/E29,0)</f>
        <v/>
      </c>
      <c r="K29" s="22" t="inlineStr">
        <is>
          <t>Sep 29 - Oct 3</t>
        </is>
      </c>
      <c r="L29" s="22">
        <f>IF(H29&gt;=E29,"Done",IF(H29&gt;0,"In progress","Not started"))</f>
        <v/>
      </c>
      <c r="M29" s="69">
        <f>COUNTIFS(Kiarra!$I:$I,"*;"&amp;$A29&amp;";*",Kiarra!$H:$H,"Done")+COUNTIFS(Hans!$I:$I,"*;"&amp;$A29&amp;";*",Hans!$H:$H,"Done")+COUNTIFS(Jertz!$I:$I,"*;"&amp;$A29&amp;";*",Jertz!$H:$H,"Done")+COUNTIFS(Ysa!$I:$I,"*;"&amp;$A29&amp;";*",Ysa!$H:$H,"Done")</f>
        <v/>
      </c>
      <c r="N29" s="69">
        <f>COUNTIF(Kiarra!$I:$I,"*;"&amp;$A29&amp;";*")+COUNTIF(Hans!$I:$I,"*;"&amp;$A29&amp;";*")+COUNTIF(Jertz!$I:$I,"*;"&amp;$A29&amp;";*")+COUNTIF(Ysa!$I:$I,"*;"&amp;$A29&amp;";*")</f>
        <v/>
      </c>
    </row>
    <row r="30">
      <c r="A30" s="21" t="inlineStr">
        <is>
          <t>PRESCRIBE</t>
        </is>
      </c>
      <c r="B30" s="22" t="inlineStr">
        <is>
          <t>Prescriptive Optimization Models — re-scored 15 Oct: Booth Staffing, Congestion Response Advisory, Resource Staging, Patrol Alert Schedule and computed emission strategies all live; Monte Carlo (MODEL-04) implemented at 400 seeded runs. EVAL-01 and MS-01 outstanding.</t>
        </is>
      </c>
      <c r="C30" s="22" t="inlineStr">
        <is>
          <t>MOD-ANA</t>
        </is>
      </c>
      <c r="D30" s="22" t="inlineStr">
        <is>
          <t>Hans</t>
        </is>
      </c>
      <c r="E30" s="23" t="n">
        <v>2.517</v>
      </c>
      <c r="F30" s="24" t="n">
        <v>2.014</v>
      </c>
      <c r="G30" s="57" t="inlineStr">
        <is>
          <t>N</t>
        </is>
      </c>
      <c r="H30" s="23">
        <f>IF(UPPER(G30)="Y",E30,IF(N30=0,F30,F30+(E30-F30)*M30/N30))</f>
        <v/>
      </c>
      <c r="I30" s="25">
        <f>E30-H30</f>
        <v/>
      </c>
      <c r="J30" s="26">
        <f>IFERROR(H30/E30,0)</f>
        <v/>
      </c>
      <c r="K30" s="22" t="inlineStr">
        <is>
          <t>Sep 29 - Oct 3</t>
        </is>
      </c>
      <c r="L30" s="22">
        <f>IF(H30&gt;=E30,"Done",IF(H30&gt;0,"In progress","Not started"))</f>
        <v/>
      </c>
      <c r="M30" s="69">
        <f>COUNTIFS(Kiarra!$I:$I,"*;"&amp;$A30&amp;";*",Kiarra!$H:$H,"Done")+COUNTIFS(Hans!$I:$I,"*;"&amp;$A30&amp;";*",Hans!$H:$H,"Done")+COUNTIFS(Jertz!$I:$I,"*;"&amp;$A30&amp;";*",Jertz!$H:$H,"Done")+COUNTIFS(Ysa!$I:$I,"*;"&amp;$A30&amp;";*",Ysa!$H:$H,"Done")</f>
        <v/>
      </c>
      <c r="N30" s="69">
        <f>COUNTIF(Kiarra!$I:$I,"*;"&amp;$A30&amp;";*")+COUNTIF(Hans!$I:$I,"*;"&amp;$A30&amp;";*")+COUNTIF(Jertz!$I:$I,"*;"&amp;$A30&amp;";*")+COUNTIF(Ysa!$I:$I,"*;"&amp;$A30&amp;";*")</f>
        <v/>
      </c>
    </row>
    <row r="31">
      <c r="A31" s="21" t="inlineStr">
        <is>
          <t>AGENT-M</t>
        </is>
      </c>
      <c r="B31" s="22" t="inlineStr">
        <is>
          <t>Agent Simulation - vehicle dynamics &amp; calibration</t>
        </is>
      </c>
      <c r="C31" s="22" t="inlineStr">
        <is>
          <t>MOD-ANA</t>
        </is>
      </c>
      <c r="D31" s="22" t="inlineStr">
        <is>
          <t>Hans</t>
        </is>
      </c>
      <c r="E31" s="23" t="n">
        <v>1.101</v>
      </c>
      <c r="F31" s="24" t="n">
        <v>0.472</v>
      </c>
      <c r="G31" s="57" t="inlineStr">
        <is>
          <t>N</t>
        </is>
      </c>
      <c r="H31" s="23">
        <f>IF(UPPER(G31)="Y",E31,IF(N31=0,F31,F31+(E31-F31)*M31/N31))</f>
        <v/>
      </c>
      <c r="I31" s="25">
        <f>E31-H31</f>
        <v/>
      </c>
      <c r="J31" s="26">
        <f>IFERROR(H31/E31,0)</f>
        <v/>
      </c>
      <c r="K31" s="22" t="inlineStr">
        <is>
          <t>Oct 5 - Oct 6</t>
        </is>
      </c>
      <c r="L31" s="22">
        <f>IF(H31&gt;=E31,"Done",IF(H31&gt;0,"In progress","Not started"))</f>
        <v/>
      </c>
      <c r="M31" s="69">
        <f>COUNTIFS(Kiarra!$I:$I,"*;"&amp;$A31&amp;";*",Kiarra!$H:$H,"Done")+COUNTIFS(Hans!$I:$I,"*;"&amp;$A31&amp;";*",Hans!$H:$H,"Done")+COUNTIFS(Jertz!$I:$I,"*;"&amp;$A31&amp;";*",Jertz!$H:$H,"Done")+COUNTIFS(Ysa!$I:$I,"*;"&amp;$A31&amp;";*",Ysa!$H:$H,"Done")</f>
        <v/>
      </c>
      <c r="N31" s="69">
        <f>COUNTIF(Kiarra!$I:$I,"*;"&amp;$A31&amp;";*")+COUNTIF(Hans!$I:$I,"*;"&amp;$A31&amp;";*")+COUNTIF(Jertz!$I:$I,"*;"&amp;$A31&amp;";*")+COUNTIF(Ysa!$I:$I,"*;"&amp;$A31&amp;";*")</f>
        <v/>
      </c>
    </row>
    <row r="32">
      <c r="A32" s="21" t="inlineStr">
        <is>
          <t>AGENT-S</t>
        </is>
      </c>
      <c r="B32" s="22" t="inlineStr">
        <is>
          <t>Agent Simulation - scenarios &amp; validation</t>
        </is>
      </c>
      <c r="C32" s="22" t="inlineStr">
        <is>
          <t>MOD-ANA</t>
        </is>
      </c>
      <c r="D32" s="22" t="inlineStr">
        <is>
          <t>Jertz</t>
        </is>
      </c>
      <c r="E32" s="23" t="n">
        <v>1.102</v>
      </c>
      <c r="F32" s="24" t="n">
        <v>0.472</v>
      </c>
      <c r="G32" s="57" t="inlineStr">
        <is>
          <t>N</t>
        </is>
      </c>
      <c r="H32" s="23">
        <f>IF(UPPER(G32)="Y",E32,IF(N32=0,F32,F32+(E32-F32)*M32/N32))</f>
        <v/>
      </c>
      <c r="I32" s="25">
        <f>E32-H32</f>
        <v/>
      </c>
      <c r="J32" s="26">
        <f>IFERROR(H32/E32,0)</f>
        <v/>
      </c>
      <c r="K32" s="22" t="inlineStr">
        <is>
          <t>Oct 5 - Oct 6</t>
        </is>
      </c>
      <c r="L32" s="22">
        <f>IF(H32&gt;=E32,"Done",IF(H32&gt;0,"In progress","Not started"))</f>
        <v/>
      </c>
      <c r="M32" s="69">
        <f>COUNTIFS(Kiarra!$I:$I,"*;"&amp;$A32&amp;";*",Kiarra!$H:$H,"Done")+COUNTIFS(Hans!$I:$I,"*;"&amp;$A32&amp;";*",Hans!$H:$H,"Done")+COUNTIFS(Jertz!$I:$I,"*;"&amp;$A32&amp;";*",Jertz!$H:$H,"Done")+COUNTIFS(Ysa!$I:$I,"*;"&amp;$A32&amp;";*",Ysa!$H:$H,"Done")</f>
        <v/>
      </c>
      <c r="N32" s="69">
        <f>COUNTIF(Kiarra!$I:$I,"*;"&amp;$A32&amp;";*")+COUNTIF(Hans!$I:$I,"*;"&amp;$A32&amp;";*")+COUNTIF(Jertz!$I:$I,"*;"&amp;$A32&amp;";*")+COUNTIF(Ysa!$I:$I,"*;"&amp;$A32&amp;";*")</f>
        <v/>
      </c>
    </row>
    <row r="33">
      <c r="A33" s="21" t="inlineStr">
        <is>
          <t>RAG</t>
        </is>
      </c>
      <c r="B33" s="22" t="inlineStr">
        <is>
          <t>DESCOPED - delivered as an LLM layer instead. GLM via an OpenAI-compatible endpoint, with the ai-insight, ai-explain and sandbox-command services; ai-explain retrieves from the warehouse and grounds the prompt. Not built: document corpus, chunking, embeddings, vector index, Claude Sonnet, FastAPI. Confirm with the adviser that the substitution is accepted - 2.517 points ride on it.</t>
        </is>
      </c>
      <c r="C33" s="22" t="inlineStr">
        <is>
          <t>MOD-ANA</t>
        </is>
      </c>
      <c r="D33" s="22" t="inlineStr">
        <is>
          <t>Ysa</t>
        </is>
      </c>
      <c r="E33" s="23" t="n">
        <v>2.517</v>
      </c>
      <c r="F33" s="24" t="n">
        <v>0</v>
      </c>
      <c r="G33" s="57" t="inlineStr">
        <is>
          <t>N</t>
        </is>
      </c>
      <c r="H33" s="23">
        <f>IF(UPPER(G33)="Y",E33,IF(N33=0,F33,F33+(E33-F33)*M33/N33))</f>
        <v/>
      </c>
      <c r="I33" s="25">
        <f>E33-H33</f>
        <v/>
      </c>
      <c r="J33" s="26">
        <f>IFERROR(H33/E33,0)</f>
        <v/>
      </c>
      <c r="K33" s="22" t="inlineStr">
        <is>
          <t>Oct 3 - sign-off</t>
        </is>
      </c>
      <c r="L33" s="22">
        <f>IF(H33&gt;=E33,"Done",IF(H33&gt;0,"In progress","Not started"))</f>
        <v/>
      </c>
      <c r="M33" s="69">
        <f>COUNTIFS(Kiarra!$I:$I,"*;"&amp;$A33&amp;";*",Kiarra!$H:$H,"Done")+COUNTIFS(Hans!$I:$I,"*;"&amp;$A33&amp;";*",Hans!$H:$H,"Done")+COUNTIFS(Jertz!$I:$I,"*;"&amp;$A33&amp;";*",Jertz!$H:$H,"Done")+COUNTIFS(Ysa!$I:$I,"*;"&amp;$A33&amp;";*",Ysa!$H:$H,"Done")</f>
        <v/>
      </c>
      <c r="N33" s="69">
        <f>COUNTIF(Kiarra!$I:$I,"*;"&amp;$A33&amp;";*")+COUNTIF(Hans!$I:$I,"*;"&amp;$A33&amp;";*")+COUNTIF(Jertz!$I:$I,"*;"&amp;$A33&amp;";*")+COUNTIF(Ysa!$I:$I,"*;"&amp;$A33&amp;";*")</f>
        <v/>
      </c>
    </row>
    <row r="34" ht="46" customHeight="1">
      <c r="A34" s="21" t="inlineStr">
        <is>
          <t>DATAPREP</t>
        </is>
      </c>
      <c r="B34" s="22" t="inlineStr">
        <is>
          <t>Analytics Data Preparation &amp; Integration</t>
        </is>
      </c>
      <c r="C34" s="22" t="inlineStr">
        <is>
          <t>MOD-ANA</t>
        </is>
      </c>
      <c r="D34" s="22" t="inlineStr">
        <is>
          <t>Hans</t>
        </is>
      </c>
      <c r="E34" s="23" t="n">
        <v>4.406</v>
      </c>
      <c r="F34" s="24" t="n">
        <v>3.147</v>
      </c>
      <c r="G34" s="57" t="inlineStr">
        <is>
          <t>N</t>
        </is>
      </c>
      <c r="H34" s="23">
        <f>IF(UPPER(G34)="Y",E34,IF(N34=0,F34,F34+(E34-F34)*M34/N34))</f>
        <v/>
      </c>
      <c r="I34" s="25">
        <f>E34-H34</f>
        <v/>
      </c>
      <c r="J34" s="26">
        <f>IFERROR(H34/E34,0)</f>
        <v/>
      </c>
      <c r="K34" s="22" t="inlineStr">
        <is>
          <t>Oct 4 - Oct 5</t>
        </is>
      </c>
      <c r="L34" s="22">
        <f>IF(H34&gt;=E34,"Done",IF(H34&gt;0,"In progress","Not started"))</f>
        <v/>
      </c>
      <c r="M34" s="69">
        <f>COUNTIFS(Kiarra!$I:$I,"*;"&amp;$A34&amp;";*",Kiarra!$H:$H,"Done")+COUNTIFS(Hans!$I:$I,"*;"&amp;$A34&amp;";*",Hans!$H:$H,"Done")+COUNTIFS(Jertz!$I:$I,"*;"&amp;$A34&amp;";*",Jertz!$H:$H,"Done")+COUNTIFS(Ysa!$I:$I,"*;"&amp;$A34&amp;";*",Ysa!$H:$H,"Done")</f>
        <v/>
      </c>
      <c r="N34" s="69">
        <f>COUNTIF(Kiarra!$I:$I,"*;"&amp;$A34&amp;";*")+COUNTIF(Hans!$I:$I,"*;"&amp;$A34&amp;";*")+COUNTIF(Jertz!$I:$I,"*;"&amp;$A34&amp;";*")+COUNTIF(Ysa!$I:$I,"*;"&amp;$A34&amp;";*")</f>
        <v/>
      </c>
    </row>
    <row r="35">
      <c r="A35" s="21" t="inlineStr">
        <is>
          <t>DATA</t>
        </is>
      </c>
      <c r="B35" s="22" t="inlineStr">
        <is>
          <t>Core Traffic Data Schema &amp; Import Tables</t>
        </is>
      </c>
      <c r="C35" s="22" t="inlineStr">
        <is>
          <t>MOD-DB</t>
        </is>
      </c>
      <c r="D35" s="22" t="inlineStr">
        <is>
          <t>Hans</t>
        </is>
      </c>
      <c r="E35" s="23" t="n">
        <v>3.147</v>
      </c>
      <c r="F35" s="24" t="n">
        <v>1.888</v>
      </c>
      <c r="G35" s="57" t="inlineStr">
        <is>
          <t>N</t>
        </is>
      </c>
      <c r="H35" s="23">
        <f>IF(UPPER(G35)="Y",E35,IF(N35=0,F35,F35+(E35-F35)*M35/N35))</f>
        <v/>
      </c>
      <c r="I35" s="25">
        <f>E35-H35</f>
        <v/>
      </c>
      <c r="J35" s="26">
        <f>IFERROR(H35/E35,0)</f>
        <v/>
      </c>
      <c r="K35" s="22" t="inlineStr">
        <is>
          <t>Oct 4 - Oct 5</t>
        </is>
      </c>
      <c r="L35" s="22">
        <f>IF(H35&gt;=E35,"Done",IF(H35&gt;0,"In progress","Not started"))</f>
        <v/>
      </c>
      <c r="M35" s="69">
        <f>COUNTIFS(Kiarra!$I:$I,"*;"&amp;$A35&amp;";*",Kiarra!$H:$H,"Done")+COUNTIFS(Hans!$I:$I,"*;"&amp;$A35&amp;";*",Hans!$H:$H,"Done")+COUNTIFS(Jertz!$I:$I,"*;"&amp;$A35&amp;";*",Jertz!$H:$H,"Done")+COUNTIFS(Ysa!$I:$I,"*;"&amp;$A35&amp;";*",Ysa!$H:$H,"Done")</f>
        <v/>
      </c>
      <c r="N35" s="69">
        <f>COUNTIF(Kiarra!$I:$I,"*;"&amp;$A35&amp;";*")+COUNTIF(Hans!$I:$I,"*;"&amp;$A35&amp;";*")+COUNTIF(Jertz!$I:$I,"*;"&amp;$A35&amp;";*")+COUNTIF(Ysa!$I:$I,"*;"&amp;$A35&amp;";*")</f>
        <v/>
      </c>
    </row>
    <row r="36">
      <c r="A36" s="21" t="inlineStr">
        <is>
          <t>ETL</t>
        </is>
      </c>
      <c r="B36" s="22" t="inlineStr">
        <is>
          <t>ETL Pipeline &amp; Data Warehouse</t>
        </is>
      </c>
      <c r="C36" s="22" t="inlineStr">
        <is>
          <t>MOD-DB</t>
        </is>
      </c>
      <c r="D36" s="22" t="inlineStr">
        <is>
          <t>Hans</t>
        </is>
      </c>
      <c r="E36" s="23" t="n">
        <v>2.203</v>
      </c>
      <c r="F36" s="24" t="n">
        <v>2.203</v>
      </c>
      <c r="G36" s="57" t="inlineStr">
        <is>
          <t>N</t>
        </is>
      </c>
      <c r="H36" s="23">
        <f>IF(UPPER(G36)="Y",E36,IF(N36=0,F36,F36+(E36-F36)*M36/N36))</f>
        <v/>
      </c>
      <c r="I36" s="25">
        <f>E36-H36</f>
        <v/>
      </c>
      <c r="J36" s="26">
        <f>IFERROR(H36/E36,0)</f>
        <v/>
      </c>
      <c r="K36" s="22" t="inlineStr">
        <is>
          <t>Oct 5 - Oct 6</t>
        </is>
      </c>
      <c r="L36" s="22">
        <f>IF(H36&gt;=E36,"Done",IF(H36&gt;0,"In progress","Not started"))</f>
        <v/>
      </c>
      <c r="M36" s="69">
        <f>COUNTIFS(Kiarra!$I:$I,"*;"&amp;$A36&amp;";*",Kiarra!$H:$H,"Done")+COUNTIFS(Hans!$I:$I,"*;"&amp;$A36&amp;";*",Hans!$H:$H,"Done")+COUNTIFS(Jertz!$I:$I,"*;"&amp;$A36&amp;";*",Jertz!$H:$H,"Done")+COUNTIFS(Ysa!$I:$I,"*;"&amp;$A36&amp;";*",Ysa!$H:$H,"Done")</f>
        <v/>
      </c>
      <c r="N36" s="69">
        <f>COUNTIF(Kiarra!$I:$I,"*;"&amp;$A36&amp;";*")+COUNTIF(Hans!$I:$I,"*;"&amp;$A36&amp;";*")+COUNTIF(Jertz!$I:$I,"*;"&amp;$A36&amp;";*")+COUNTIF(Ysa!$I:$I,"*;"&amp;$A36&amp;";*")</f>
        <v/>
      </c>
    </row>
    <row r="37">
      <c r="A37" s="21" t="inlineStr">
        <is>
          <t>CACHE</t>
        </is>
      </c>
      <c r="B37" s="22" t="inlineStr">
        <is>
          <t>Redis Cache &amp; Event Messaging Setup</t>
        </is>
      </c>
      <c r="C37" s="22" t="inlineStr">
        <is>
          <t>MOD-DB</t>
        </is>
      </c>
      <c r="D37" s="22" t="inlineStr">
        <is>
          <t>Hans</t>
        </is>
      </c>
      <c r="E37" s="23" t="n">
        <v>1.888</v>
      </c>
      <c r="F37" s="24" t="n">
        <v>0.944</v>
      </c>
      <c r="G37" s="57" t="inlineStr">
        <is>
          <t>N</t>
        </is>
      </c>
      <c r="H37" s="23">
        <f>IF(UPPER(G37)="Y",E37,IF(N37=0,F37,F37+(E37-F37)*M37/N37))</f>
        <v/>
      </c>
      <c r="I37" s="25">
        <f>E37-H37</f>
        <v/>
      </c>
      <c r="J37" s="26">
        <f>IFERROR(H37/E37,0)</f>
        <v/>
      </c>
      <c r="K37" s="22" t="inlineStr">
        <is>
          <t>Oct 5 - Oct 6</t>
        </is>
      </c>
      <c r="L37" s="22">
        <f>IF(H37&gt;=E37,"Done",IF(H37&gt;0,"In progress","Not started"))</f>
        <v/>
      </c>
      <c r="M37" s="69">
        <f>COUNTIFS(Kiarra!$I:$I,"*;"&amp;$A37&amp;";*",Kiarra!$H:$H,"Done")+COUNTIFS(Hans!$I:$I,"*;"&amp;$A37&amp;";*",Hans!$H:$H,"Done")+COUNTIFS(Jertz!$I:$I,"*;"&amp;$A37&amp;";*",Jertz!$H:$H,"Done")+COUNTIFS(Ysa!$I:$I,"*;"&amp;$A37&amp;";*",Ysa!$H:$H,"Done")</f>
        <v/>
      </c>
      <c r="N37" s="69">
        <f>COUNTIF(Kiarra!$I:$I,"*;"&amp;$A37&amp;";*")+COUNTIF(Hans!$I:$I,"*;"&amp;$A37&amp;";*")+COUNTIF(Jertz!$I:$I,"*;"&amp;$A37&amp;";*")+COUNTIF(Ysa!$I:$I,"*;"&amp;$A37&amp;";*")</f>
        <v/>
      </c>
    </row>
    <row r="38">
      <c r="A38" s="21" t="inlineStr">
        <is>
          <t>HOST</t>
        </is>
      </c>
      <c r="B38" s="22" t="inlineStr">
        <is>
          <t>Hosting &amp; Deployment Setup</t>
        </is>
      </c>
      <c r="C38" s="22" t="inlineStr">
        <is>
          <t>CORE</t>
        </is>
      </c>
      <c r="D38" s="22" t="inlineStr">
        <is>
          <t>Kiarra</t>
        </is>
      </c>
      <c r="E38" s="23" t="n">
        <v>1.573</v>
      </c>
      <c r="F38" s="24" t="n">
        <v>0.629</v>
      </c>
      <c r="G38" s="57" t="inlineStr">
        <is>
          <t>N</t>
        </is>
      </c>
      <c r="H38" s="23">
        <f>IF(UPPER(G38)="Y",E38,IF(N38=0,F38,F38+(E38-F38)*M38/N38))</f>
        <v/>
      </c>
      <c r="I38" s="25">
        <f>E38-H38</f>
        <v/>
      </c>
      <c r="J38" s="26">
        <f>IFERROR(H38/E38,0)</f>
        <v/>
      </c>
      <c r="K38" s="22" t="inlineStr">
        <is>
          <t>Oct 5 - Oct 6</t>
        </is>
      </c>
      <c r="L38" s="22">
        <f>IF(H38&gt;=E38,"Done",IF(H38&gt;0,"In progress","Not started"))</f>
        <v/>
      </c>
      <c r="M38" s="69">
        <f>COUNTIFS(Kiarra!$I:$I,"*;"&amp;$A38&amp;";*",Kiarra!$H:$H,"Done")+COUNTIFS(Hans!$I:$I,"*;"&amp;$A38&amp;";*",Hans!$H:$H,"Done")+COUNTIFS(Jertz!$I:$I,"*;"&amp;$A38&amp;";*",Jertz!$H:$H,"Done")+COUNTIFS(Ysa!$I:$I,"*;"&amp;$A38&amp;";*",Ysa!$H:$H,"Done")</f>
        <v/>
      </c>
      <c r="N38" s="69">
        <f>COUNTIF(Kiarra!$I:$I,"*;"&amp;$A38&amp;";*")+COUNTIF(Hans!$I:$I,"*;"&amp;$A38&amp;";*")+COUNTIF(Jertz!$I:$I,"*;"&amp;$A38&amp;";*")+COUNTIF(Ysa!$I:$I,"*;"&amp;$A38&amp;";*")</f>
        <v/>
      </c>
    </row>
    <row r="39">
      <c r="A39" s="21" t="inlineStr">
        <is>
          <t>REPO</t>
        </is>
      </c>
      <c r="B39" s="22" t="inlineStr">
        <is>
          <t>Repository &amp; Branch Management</t>
        </is>
      </c>
      <c r="C39" s="22" t="inlineStr">
        <is>
          <t>CORE</t>
        </is>
      </c>
      <c r="D39" s="22" t="inlineStr">
        <is>
          <t>Kiarra</t>
        </is>
      </c>
      <c r="E39" s="23" t="n">
        <v>0.944</v>
      </c>
      <c r="F39" s="24" t="n">
        <v>0.944</v>
      </c>
      <c r="G39" s="57" t="inlineStr">
        <is>
          <t>N</t>
        </is>
      </c>
      <c r="H39" s="23">
        <f>IF(UPPER(G39)="Y",E39,IF(N39=0,F39,F39+(E39-F39)*M39/N39))</f>
        <v/>
      </c>
      <c r="I39" s="25">
        <f>E39-H39</f>
        <v/>
      </c>
      <c r="J39" s="26">
        <f>IFERROR(H39/E39,0)</f>
        <v/>
      </c>
      <c r="K39" s="22" t="inlineStr">
        <is>
          <t>Oct 5 - Oct 6</t>
        </is>
      </c>
      <c r="L39" s="22">
        <f>IF(H39&gt;=E39,"Done",IF(H39&gt;0,"In progress","Not started"))</f>
        <v/>
      </c>
      <c r="M39" s="69">
        <f>COUNTIFS(Kiarra!$I:$I,"*;"&amp;$A39&amp;";*",Kiarra!$H:$H,"Done")+COUNTIFS(Hans!$I:$I,"*;"&amp;$A39&amp;";*",Hans!$H:$H,"Done")+COUNTIFS(Jertz!$I:$I,"*;"&amp;$A39&amp;";*",Jertz!$H:$H,"Done")+COUNTIFS(Ysa!$I:$I,"*;"&amp;$A39&amp;";*",Ysa!$H:$H,"Done")</f>
        <v/>
      </c>
      <c r="N39" s="69">
        <f>COUNTIF(Kiarra!$I:$I,"*;"&amp;$A39&amp;";*")+COUNTIF(Hans!$I:$I,"*;"&amp;$A39&amp;";*")+COUNTIF(Jertz!$I:$I,"*;"&amp;$A39&amp;";*")+COUNTIF(Ysa!$I:$I,"*;"&amp;$A39&amp;";*")</f>
        <v/>
      </c>
    </row>
    <row r="40">
      <c r="A40" s="21" t="inlineStr">
        <is>
          <t>ENV</t>
        </is>
      </c>
      <c r="B40" s="22" t="inlineStr">
        <is>
          <t>Environment Configuration</t>
        </is>
      </c>
      <c r="C40" s="22" t="inlineStr">
        <is>
          <t>CORE</t>
        </is>
      </c>
      <c r="D40" s="22" t="inlineStr">
        <is>
          <t>Kiarra</t>
        </is>
      </c>
      <c r="E40" s="23" t="n">
        <v>1.259</v>
      </c>
      <c r="F40" s="24" t="n">
        <v>0.629</v>
      </c>
      <c r="G40" s="57" t="inlineStr">
        <is>
          <t>N</t>
        </is>
      </c>
      <c r="H40" s="23">
        <f>IF(UPPER(G40)="Y",E40,IF(N40=0,F40,F40+(E40-F40)*M40/N40))</f>
        <v/>
      </c>
      <c r="I40" s="25">
        <f>E40-H40</f>
        <v/>
      </c>
      <c r="J40" s="26">
        <f>IFERROR(H40/E40,0)</f>
        <v/>
      </c>
      <c r="K40" s="22" t="inlineStr">
        <is>
          <t>Oct 5 - Oct 6</t>
        </is>
      </c>
      <c r="L40" s="22">
        <f>IF(H40&gt;=E40,"Done",IF(H40&gt;0,"In progress","Not started"))</f>
        <v/>
      </c>
      <c r="M40" s="69">
        <f>COUNTIFS(Kiarra!$I:$I,"*;"&amp;$A40&amp;";*",Kiarra!$H:$H,"Done")+COUNTIFS(Hans!$I:$I,"*;"&amp;$A40&amp;";*",Hans!$H:$H,"Done")+COUNTIFS(Jertz!$I:$I,"*;"&amp;$A40&amp;";*",Jertz!$H:$H,"Done")+COUNTIFS(Ysa!$I:$I,"*;"&amp;$A40&amp;";*",Ysa!$H:$H,"Done")</f>
        <v/>
      </c>
      <c r="N40" s="69">
        <f>COUNTIF(Kiarra!$I:$I,"*;"&amp;$A40&amp;";*")+COUNTIF(Hans!$I:$I,"*;"&amp;$A40&amp;";*")+COUNTIF(Jertz!$I:$I,"*;"&amp;$A40&amp;";*")+COUNTIF(Ysa!$I:$I,"*;"&amp;$A40&amp;";*")</f>
        <v/>
      </c>
    </row>
    <row r="41">
      <c r="A41" s="21" t="inlineStr">
        <is>
          <t>UIUX</t>
        </is>
      </c>
      <c r="B41" s="22" t="inlineStr">
        <is>
          <t>Global UI/UX Design System</t>
        </is>
      </c>
      <c r="C41" s="22" t="inlineStr">
        <is>
          <t>CORE</t>
        </is>
      </c>
      <c r="D41" s="22" t="inlineStr">
        <is>
          <t>Kiarra</t>
        </is>
      </c>
      <c r="E41" s="23" t="n">
        <v>0.944</v>
      </c>
      <c r="F41" s="24" t="n">
        <v>0.944</v>
      </c>
      <c r="G41" s="57" t="inlineStr">
        <is>
          <t>N</t>
        </is>
      </c>
      <c r="H41" s="23">
        <f>IF(UPPER(G41)="Y",E41,IF(N41=0,F41,F41+(E41-F41)*M41/N41))</f>
        <v/>
      </c>
      <c r="I41" s="25">
        <f>E41-H41</f>
        <v/>
      </c>
      <c r="J41" s="26">
        <f>IFERROR(H41/E41,0)</f>
        <v/>
      </c>
      <c r="K41" s="22" t="inlineStr">
        <is>
          <t>Oct 5 - Oct 6</t>
        </is>
      </c>
      <c r="L41" s="22">
        <f>IF(H41&gt;=E41,"Done",IF(H41&gt;0,"In progress","Not started"))</f>
        <v/>
      </c>
      <c r="M41" s="69">
        <f>COUNTIFS(Kiarra!$I:$I,"*;"&amp;$A41&amp;";*",Kiarra!$H:$H,"Done")+COUNTIFS(Hans!$I:$I,"*;"&amp;$A41&amp;";*",Hans!$H:$H,"Done")+COUNTIFS(Jertz!$I:$I,"*;"&amp;$A41&amp;";*",Jertz!$H:$H,"Done")+COUNTIFS(Ysa!$I:$I,"*;"&amp;$A41&amp;";*",Ysa!$H:$H,"Done")</f>
        <v/>
      </c>
      <c r="N41" s="69">
        <f>COUNTIF(Kiarra!$I:$I,"*;"&amp;$A41&amp;";*")+COUNTIF(Hans!$I:$I,"*;"&amp;$A41&amp;";*")+COUNTIF(Jertz!$I:$I,"*;"&amp;$A41&amp;";*")+COUNTIF(Ysa!$I:$I,"*;"&amp;$A41&amp;";*")</f>
        <v/>
      </c>
    </row>
    <row r="42">
      <c r="A42" s="21" t="inlineStr">
        <is>
          <t>PM</t>
        </is>
      </c>
      <c r="B42" s="22" t="inlineStr">
        <is>
          <t>Pm</t>
        </is>
      </c>
      <c r="C42" s="22" t="inlineStr">
        <is>
          <t>CORE</t>
        </is>
      </c>
      <c r="D42" s="22" t="inlineStr">
        <is>
          <t>Kiarra</t>
        </is>
      </c>
      <c r="E42" s="23" t="n">
        <v>0.944</v>
      </c>
      <c r="F42" s="24" t="n">
        <v>0.944</v>
      </c>
      <c r="G42" s="57" t="inlineStr">
        <is>
          <t>N</t>
        </is>
      </c>
      <c r="H42" s="23">
        <f>IF(UPPER(G42)="Y",E42,IF(N42=0,F42,F42+(E42-F42)*M42/N42))</f>
        <v/>
      </c>
      <c r="I42" s="25">
        <f>E42-H42</f>
        <v/>
      </c>
      <c r="J42" s="26">
        <f>IFERROR(H42/E42,0)</f>
        <v/>
      </c>
      <c r="K42" s="22" t="inlineStr">
        <is>
          <t>-</t>
        </is>
      </c>
      <c r="L42" s="22">
        <f>IF(H42&gt;=E42,"Done",IF(H42&gt;0,"In progress","Not started"))</f>
        <v/>
      </c>
      <c r="M42" s="69">
        <f>COUNTIFS(Kiarra!$I:$I,"*;"&amp;$A42&amp;";*",Kiarra!$H:$H,"Done")+COUNTIFS(Hans!$I:$I,"*;"&amp;$A42&amp;";*",Hans!$H:$H,"Done")+COUNTIFS(Jertz!$I:$I,"*;"&amp;$A42&amp;";*",Jertz!$H:$H,"Done")+COUNTIFS(Ysa!$I:$I,"*;"&amp;$A42&amp;";*",Ysa!$H:$H,"Done")</f>
        <v/>
      </c>
      <c r="N42" s="69">
        <f>COUNTIF(Kiarra!$I:$I,"*;"&amp;$A42&amp;";*")+COUNTIF(Hans!$I:$I,"*;"&amp;$A42&amp;";*")+COUNTIF(Jertz!$I:$I,"*;"&amp;$A42&amp;";*")+COUNTIF(Ysa!$I:$I,"*;"&amp;$A42&amp;";*")</f>
        <v/>
      </c>
    </row>
    <row r="43">
      <c r="A43" t="inlineStr">
        <is>
          <t>TOTAL</t>
        </is>
      </c>
      <c r="E43" s="82">
        <f>SUM(E5:E42)</f>
        <v/>
      </c>
      <c r="F43" s="82">
        <f>SUM(F5:F42)</f>
        <v/>
      </c>
      <c r="H43" s="82">
        <f>SUM(H5:H42)</f>
        <v/>
      </c>
      <c r="I43" s="82">
        <f>SUM(I5:I42)</f>
        <v/>
      </c>
    </row>
    <row r="44"/>
    <row r="45"/>
    <row r="46"/>
    <row r="47"/>
    <row r="48"/>
    <row r="49"/>
  </sheetData>
  <autoFilter ref="A4:L34"/>
  <mergeCells count="1">
    <mergeCell ref="A2:L2"/>
  </mergeCells>
  <dataValidations count="1">
    <dataValidation sqref="G5:G34" showDropDown="0" showInputMessage="0" showErrorMessage="0" allowBlank="1" type="list">
      <formula1>"Y,N"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Kiarra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62" customHeight="1">
      <c r="A5" s="27" t="inlineStr">
        <is>
          <t>2026-09-29</t>
        </is>
      </c>
      <c r="B5" s="9" t="inlineStr">
        <is>
          <t>Tue</t>
        </is>
      </c>
      <c r="C5" s="9" t="inlineStr">
        <is>
          <t>10:00 - 14:00</t>
        </is>
      </c>
      <c r="D5" s="9" t="inlineStr">
        <is>
          <t>Code</t>
        </is>
      </c>
      <c r="E5" s="27" t="inlineStr">
        <is>
          <t>HOST</t>
        </is>
      </c>
      <c r="F5" s="9" t="inlineStr">
        <is>
          <t>Run `npx next build` in Front-End-Dashboard before anything else. It has never been run. Fix every error it reports - type errors, bad imports, missing env vars at build time.</t>
        </is>
      </c>
      <c r="G5" s="9" t="inlineStr">
        <is>
          <t>The build completes and writes .next/ with no errors.</t>
        </is>
      </c>
      <c r="H5" s="55" t="inlineStr">
        <is>
          <t>Done</t>
        </is>
      </c>
      <c r="I5" s="70" t="inlineStr">
        <is>
          <t>;HOST;</t>
        </is>
      </c>
      <c r="J5" s="78" t="inlineStr">
        <is>
          <t>-</t>
        </is>
      </c>
    </row>
    <row r="6" ht="62" customHeight="1">
      <c r="A6" s="27" t="inlineStr"/>
      <c r="B6" s="9" t="inlineStr"/>
      <c r="C6" s="9" t="inlineStr">
        <is>
          <t>14:00 - 20:30</t>
        </is>
      </c>
      <c r="D6" s="9" t="inlineStr">
        <is>
          <t>Code</t>
        </is>
      </c>
      <c r="E6" s="27" t="inlineStr">
        <is>
          <t>HOST</t>
        </is>
      </c>
      <c r="F6" s="9" t="inlineStr">
        <is>
          <t>Package the dashboard as a desktop application, not a public website. Two blockers, both recorded in ENVIRONMENTS.md: package.json has no electron-builder "build" block (no appId, file list or icon), and the packaged app loads over file:// which sends Origin: null and is refused by the backend CORS allow-list. Serve out/ on 127.0.0.1 in the packaged app so the origin matches what FRONTEND_ORIGIN already permits.</t>
        </is>
      </c>
      <c r="G6" s="9" t="inlineStr">
        <is>
          <t>npm run dist produces an installer that opens on a second machine and fills the Traffic page.</t>
        </is>
      </c>
      <c r="H6" s="38" t="inlineStr">
        <is>
          <t>Not started</t>
        </is>
      </c>
      <c r="I6" s="70" t="inlineStr">
        <is>
          <t>;HOST;</t>
        </is>
      </c>
      <c r="J6" s="78" t="inlineStr">
        <is>
          <t>-</t>
        </is>
      </c>
    </row>
    <row r="7" ht="62" customHeight="1">
      <c r="A7" s="27" t="inlineStr"/>
      <c r="B7" s="9" t="inlineStr"/>
      <c r="C7" s="9" t="inlineStr">
        <is>
          <t>20:30 - 22:30</t>
        </is>
      </c>
      <c r="D7" s="39" t="inlineStr">
        <is>
          <t>Manuscript</t>
        </is>
      </c>
      <c r="E7" s="27" t="inlineStr">
        <is>
          <t>MS-01 UIUX</t>
        </is>
      </c>
      <c r="F7" s="9" t="inlineStr">
        <is>
          <t>Document the design system: the CSS custom-property tokens in globals.css, --page-accent per domain, the dark-mode strategy, and useThemeTokens for charts.</t>
        </is>
      </c>
      <c r="G7" s="9" t="inlineStr">
        <is>
          <t>A section exists naming the tokens and showing one before/after of a themed panel.</t>
        </is>
      </c>
      <c r="H7" s="55" t="inlineStr">
        <is>
          <t>Done</t>
        </is>
      </c>
      <c r="I7" s="70" t="inlineStr">
        <is>
          <t>;MOD-FE;</t>
        </is>
      </c>
      <c r="J7" s="79" t="inlineStr">
        <is>
          <t>;MS:UIUX;</t>
        </is>
      </c>
    </row>
    <row r="8" ht="62" customHeight="1">
      <c r="A8" s="40" t="inlineStr">
        <is>
          <t>2026-09-30</t>
        </is>
      </c>
      <c r="B8" s="41" t="inlineStr">
        <is>
          <t>Wed</t>
        </is>
      </c>
      <c r="C8" s="41" t="inlineStr">
        <is>
          <t>10:00 - 14:00</t>
        </is>
      </c>
      <c r="D8" s="41" t="inlineStr">
        <is>
          <t>Code</t>
        </is>
      </c>
      <c r="E8" s="40" t="inlineStr">
        <is>
          <t>ENV</t>
        </is>
      </c>
      <c r="F8" s="41" t="inlineStr">
        <is>
          <t>Write .env.example for Back-End and Front-End-Dashboard. Every PG_* part, NEXT_PUBLIC_BACKEND_URL, the Upstash vars. Values blank, comments explaining each.</t>
        </is>
      </c>
      <c r="G8" s="41" t="inlineStr">
        <is>
          <t>A new machine can start both apps from the examples alone.</t>
        </is>
      </c>
      <c r="H8" s="56" t="inlineStr">
        <is>
          <t>Done</t>
        </is>
      </c>
      <c r="I8" s="70" t="inlineStr">
        <is>
          <t>;ENV;</t>
        </is>
      </c>
      <c r="J8" s="78" t="inlineStr">
        <is>
          <t>-</t>
        </is>
      </c>
    </row>
    <row r="9" ht="62" customHeight="1">
      <c r="A9" s="40" t="inlineStr"/>
      <c r="B9" s="41" t="inlineStr"/>
      <c r="C9" s="41" t="inlineStr">
        <is>
          <t>14:00 - 20:30</t>
        </is>
      </c>
      <c r="D9" s="41" t="inlineStr">
        <is>
          <t>Code</t>
        </is>
      </c>
      <c r="E9" s="40" t="inlineStr">
        <is>
          <t>ENV / REPO</t>
        </is>
      </c>
      <c r="F9" s="41" t="inlineStr">
        <is>
          <t>ROTATE THE UPSTASH TOKEN - BEFORE THE DEFENSE. Confirmed still outstanding as of 1 Oct; the supporting detail was shared with the team directly rather than recorded here. DO: console.upstash.com -&gt; the Redis DB -&gt; REST API -&gt; Reset token; paste the new value into Back-End/.env (REDIS_REST_URL is unchanged); restart the backend. Do NOT rewrite git history - rotating is sufficient, and a force-push would destroy the six backup-before-*-merge rollback branches. Scratch files deleted and BRANCHING.md written; git status is clean as of the 1 Oct commits.</t>
        </is>
      </c>
      <c r="G9" s="41" t="inlineStr">
        <is>
          <t>The new token authenticates, the old one is refused, and the Live Map still fills. git status clean - already met.</t>
        </is>
      </c>
      <c r="H9" s="42" t="inlineStr">
        <is>
          <t>In progress</t>
        </is>
      </c>
      <c r="I9" s="70" t="inlineStr">
        <is>
          <t>;REPO;</t>
        </is>
      </c>
      <c r="J9" s="78" t="inlineStr">
        <is>
          <t>-</t>
        </is>
      </c>
    </row>
    <row r="10" ht="62" customHeight="1">
      <c r="A10" s="40" t="inlineStr"/>
      <c r="B10" s="41" t="inlineStr"/>
      <c r="C10" s="41" t="inlineStr">
        <is>
          <t>20:30 - 22:30</t>
        </is>
      </c>
      <c r="D10" s="39" t="inlineStr">
        <is>
          <t>Manuscript</t>
        </is>
      </c>
      <c r="E10" s="40" t="inlineStr">
        <is>
          <t>MS-01 ENV + REPO</t>
        </is>
      </c>
      <c r="F10" s="41" t="inlineStr">
        <is>
          <t>Document environment configuration and the branching strategy. Note that frontend .env is committed on purpose and backend .env never is.</t>
        </is>
      </c>
      <c r="G10" s="41" t="inlineStr">
        <is>
          <t>Both sections written.</t>
        </is>
      </c>
      <c r="H10" s="42" t="inlineStr">
        <is>
          <t>Done</t>
        </is>
      </c>
      <c r="I10" s="70" t="inlineStr">
        <is>
          <t>;CORE;</t>
        </is>
      </c>
      <c r="J10" s="79" t="inlineStr">
        <is>
          <t>;MS:ENV;MS:REPO;MS:HOST;</t>
        </is>
      </c>
    </row>
    <row r="11" ht="62" customHeight="1">
      <c r="A11" s="27" t="inlineStr">
        <is>
          <t>2026-10-01</t>
        </is>
      </c>
      <c r="B11" s="9" t="inlineStr">
        <is>
          <t>Thu</t>
        </is>
      </c>
      <c r="C11" s="9" t="inlineStr">
        <is>
          <t>10:00 - 14:00</t>
        </is>
      </c>
      <c r="D11" s="9" t="inlineStr">
        <is>
          <t>Code</t>
        </is>
      </c>
      <c r="E11" s="27" t="inlineStr">
        <is>
          <t>AUTH</t>
        </is>
      </c>
      <c r="F11" s="9" t="inlineStr">
        <is>
          <t>Close the remaining auth subtasks: refresh-token handling so an expired access token renews without logging the user out, and role-based access control on frontend routes.</t>
        </is>
      </c>
      <c r="G11" s="9" t="inlineStr">
        <is>
          <t>An expired token refreshes silently; an unauthorised role is redirected.</t>
        </is>
      </c>
      <c r="H11" s="38" t="inlineStr">
        <is>
          <t>Done</t>
        </is>
      </c>
      <c r="I11" s="70" t="inlineStr">
        <is>
          <t>;AUTH;</t>
        </is>
      </c>
      <c r="J11" s="78" t="inlineStr">
        <is>
          <t>-</t>
        </is>
      </c>
    </row>
    <row r="12" ht="62" customHeight="1">
      <c r="A12" s="27" t="inlineStr"/>
      <c r="B12" s="9" t="inlineStr"/>
      <c r="C12" s="9" t="inlineStr">
        <is>
          <t>14:00 - 19:30</t>
        </is>
      </c>
      <c r="D12" s="9" t="inlineStr">
        <is>
          <t>Code</t>
        </is>
      </c>
      <c r="E12" s="27" t="inlineStr">
        <is>
          <t>AUTH</t>
        </is>
      </c>
      <c r="F12" s="9" t="inlineStr">
        <is>
          <t>Test valid login, bad credentials, and session expiry. Capture the results - Jertz needs them for the QA section. All three pass, plus nine more: 12 scenarios in Table 4.2.12 of Chapter4_Auth_Session_Management.md. Valid login issues both tokens (access token lives 3600s) and reaches a protected endpoint; bad credentials return the same message for an unknown account as for a wrong password, so no user enumeration; a refused request refreshes and replays with no re-login. Wrong role returns 403 and is correctly NOT retried. Three QA accounts exist in Supabase on a .test domain - decide whether to keep them for the demo.</t>
        </is>
      </c>
      <c r="G12" s="9" t="inlineStr">
        <is>
          <t>Three scenarios pass and are screenshotted.</t>
        </is>
      </c>
      <c r="H12" s="38" t="inlineStr">
        <is>
          <t>Done</t>
        </is>
      </c>
      <c r="I12" s="70" t="inlineStr">
        <is>
          <t>;AUTH;</t>
        </is>
      </c>
      <c r="J12" s="78" t="inlineStr">
        <is>
          <t>-</t>
        </is>
      </c>
    </row>
    <row r="13" ht="62" customHeight="1">
      <c r="A13" s="27" t="inlineStr"/>
      <c r="B13" s="9" t="inlineStr"/>
      <c r="C13" s="9" t="inlineStr">
        <is>
          <t>19:30 - 22:30</t>
        </is>
      </c>
      <c r="D13" s="39" t="inlineStr">
        <is>
          <t>Manuscript</t>
        </is>
      </c>
      <c r="E13" s="27" t="inlineStr">
        <is>
          <t>MS-01 AUTH</t>
        </is>
      </c>
      <c r="F13" s="9" t="inlineStr">
        <is>
          <t>Document the JWT and session-management flow: token lifetimes, refresh path, where the token is stored, how routes are guarded.</t>
        </is>
      </c>
      <c r="G13" s="9" t="inlineStr">
        <is>
          <t>Section complete with a flow diagram.</t>
        </is>
      </c>
      <c r="H13" s="38" t="inlineStr">
        <is>
          <t>Done</t>
        </is>
      </c>
      <c r="I13" s="70" t="inlineStr">
        <is>
          <t>;MOD-FE;</t>
        </is>
      </c>
      <c r="J13" s="79" t="inlineStr">
        <is>
          <t>;MS:AUTH;</t>
        </is>
      </c>
    </row>
    <row r="14" ht="62" customHeight="1">
      <c r="A14" s="40" t="inlineStr">
        <is>
          <t>2026-10-02</t>
        </is>
      </c>
      <c r="B14" s="41" t="inlineStr">
        <is>
          <t>Fri</t>
        </is>
      </c>
      <c r="C14" s="41" t="inlineStr">
        <is>
          <t>10:00 - 14:00</t>
        </is>
      </c>
      <c r="D14" s="41" t="inlineStr">
        <is>
          <t>Code</t>
        </is>
      </c>
      <c r="E14" s="40" t="inlineStr">
        <is>
          <t>MAINT</t>
        </is>
      </c>
      <c r="F14" s="41" t="inlineStr">
        <is>
          <t>Close the remaining Maintenance Scheduler API subtasks. DONE: DEV-01/02/03 verified; TEST-01 and FIX-01 closed by fixing two defects found while testing - the KM range was not ordered (Km 40 to Km 10 saved cleanly, giving every consumer a negative span), and DELETE ignored rowCount so a missing id answered 200 "Deleted" and wrote an audit entry for a deletion that never happened. MAINT is now 7 of 8 subtasks (2.203 of 2.517). STILL OPEN - UAT-01: the interface must be evaluated by maintenance coordinators who can confirm they can plan and organise roadwork with it. That needs real evaluators, not code. ALSO: the existing "Toll Booth Repair" row is entered as Km 76.25 to 73.23 (reversed) and is in progress - correct it by hand; the new validation stops another but does not repair that one. QA PASS (2 Oct): 24 adversarial checks - boundaries, malformed timestamps, script/SQL payloads, bad ids, invalid status transitions. One more defect found and fixed: a malformed id reached Postgres, which threw, and the service reports every query failure as 'database not reachable', so a typo answered 503 and would have raised an infrastructure alarm. Now 404. OPEN DESIGN GAP: status is never reconciled with the clock. Both rows have windows that closed in August; one still reads in_progress so the page claims 3.0 km 'under work right now' for work that ended 46 days ago, and the other reads scheduled so the tile shows 1 beside 'nothing upcoming'. Fix before any demo.</t>
        </is>
      </c>
      <c r="G14" s="41" t="inlineStr">
        <is>
          <t>Every acceptance criterion under MAINT is met.</t>
        </is>
      </c>
      <c r="H14" s="42" t="inlineStr">
        <is>
          <t>In progress</t>
        </is>
      </c>
      <c r="I14" s="70" t="inlineStr">
        <is>
          <t>;MAINT;</t>
        </is>
      </c>
      <c r="J14" s="78" t="inlineStr">
        <is>
          <t>-</t>
        </is>
      </c>
    </row>
    <row r="15" ht="62" customHeight="1">
      <c r="A15" s="40" t="inlineStr"/>
      <c r="B15" s="41" t="inlineStr"/>
      <c r="C15" s="41" t="inlineStr">
        <is>
          <t>14:00 - 19:30</t>
        </is>
      </c>
      <c r="D15" s="41" t="inlineStr">
        <is>
          <t>Code</t>
        </is>
      </c>
      <c r="E15" s="40" t="inlineStr">
        <is>
          <t>MAINT</t>
        </is>
      </c>
      <c r="F15" s="41" t="inlineStr">
        <is>
          <t>Test the scheduler end to end from the UI. 26 checks pass: 16 against the endpoints and 10 driven through the real interface signed in as a Data Analyst - form opens and accepts an entry, it appears in the list, detail panel opens, edit persists, delete asks for confirmation, the row leaves the list and is still gone after a reload. Screenshots in manuscript-figures/ for the QA section.</t>
        </is>
      </c>
      <c r="G15" s="41" t="inlineStr">
        <is>
          <t>A maintenance item can be created, edited and removed from the dashboard.</t>
        </is>
      </c>
      <c r="H15" s="42" t="inlineStr">
        <is>
          <t>Done</t>
        </is>
      </c>
      <c r="I15" s="70" t="inlineStr">
        <is>
          <t>;MAINT;</t>
        </is>
      </c>
      <c r="J15" s="78" t="inlineStr">
        <is>
          <t>-</t>
        </is>
      </c>
    </row>
    <row r="16" ht="62" customHeight="1">
      <c r="A16" s="40" t="inlineStr"/>
      <c r="B16" s="41" t="inlineStr"/>
      <c r="C16" s="41" t="inlineStr">
        <is>
          <t>19:30 - 22:30</t>
        </is>
      </c>
      <c r="D16" s="39" t="inlineStr">
        <is>
          <t>Manuscript</t>
        </is>
      </c>
      <c r="E16" s="40" t="inlineStr">
        <is>
          <t>MS-01 MAINT</t>
        </is>
      </c>
      <c r="F16" s="41" t="inlineStr">
        <is>
          <t>Document the maintenance API - endpoints, payloads, how it reaches the dashboard.</t>
        </is>
      </c>
      <c r="G16" s="41" t="inlineStr">
        <is>
          <t>Section complete.</t>
        </is>
      </c>
      <c r="H16" s="42" t="inlineStr">
        <is>
          <t>Done</t>
        </is>
      </c>
      <c r="I16" s="70" t="inlineStr">
        <is>
          <t>;MOD-BE;</t>
        </is>
      </c>
      <c r="J16" s="79" t="inlineStr">
        <is>
          <t>;MS:MAINT;</t>
        </is>
      </c>
    </row>
    <row r="17" ht="70" customHeight="1">
      <c r="A17" s="27" t="inlineStr">
        <is>
          <t>2026-10-03</t>
        </is>
      </c>
      <c r="B17" s="9" t="inlineStr">
        <is>
          <t>Sat</t>
        </is>
      </c>
      <c r="C17" s="9" t="inlineStr">
        <is>
          <t>10:00 - 14:00</t>
        </is>
      </c>
      <c r="D17" s="9" t="inlineStr">
        <is>
          <t>Code</t>
        </is>
      </c>
      <c r="E17" s="27" t="inlineStr">
        <is>
          <t>CORE</t>
        </is>
      </c>
      <c r="F17" s="9" t="inlineStr">
        <is>
          <t>Migrate ESLint to flat config. DONE 7 Oct. Confirmed broken first: npx eslint . exited 2 with "couldn't find an eslint.config file" - ESLint 9 was declared but configured through .eslintrc.json, which v9 no longer reads. next build lints anyway because Next shims the old format internally, which is why nobody noticed the standalone step had never worked, while 3.13 SQA describes it as part of the process. Added eslint.config.mjs using FlatCompat (eslint-config-next ships no flat entry yet), so the rule set is unchanged - only how it loads. Result: npx eslint . exits 0, 0 errors, 83 warnings. The 3 errors it first reported were require() in electron/main.js and preload.js; Electron loads both as CommonJS by requirement, so the rule is off for electron/** rather than the calls being worked around. FOLLOW-UP: .eslintrc.json is still on disk. It is dead to ESLint 9 but next build may still read it; delete it and re-run a full build to confirm, which needs the dev server stopped.</t>
        </is>
      </c>
      <c r="G17" s="9" t="inlineStr">
        <is>
          <t>npx eslint . runs and the error count is zero or triaged.</t>
        </is>
      </c>
      <c r="H17" s="38" t="inlineStr">
        <is>
          <t>Done</t>
        </is>
      </c>
      <c r="I17" s="71" t="inlineStr">
        <is>
          <t>(overhead)</t>
        </is>
      </c>
      <c r="J17" s="78" t="inlineStr">
        <is>
          <t>-</t>
        </is>
      </c>
    </row>
    <row r="18" ht="72" customHeight="1">
      <c r="A18" s="27" t="inlineStr"/>
      <c r="B18" s="9" t="inlineStr"/>
      <c r="C18" s="9" t="inlineStr">
        <is>
          <t>14:00 - 18:30</t>
        </is>
      </c>
      <c r="D18" s="9" t="inlineStr">
        <is>
          <t>Code</t>
        </is>
      </c>
      <c r="E18" s="27" t="inlineStr">
        <is>
          <t>Acceptance file split</t>
        </is>
      </c>
      <c r="F18" s="9" t="inlineStr">
        <is>
          <t>Split the acceptance file's repeated task IDs by module. DONE 7 Oct. The row was 18.882 points, not the 3.773 this block assumed - 21% of the entire system weight, owned by nobody. Seven IDs repeat across MOD-FE and MOD-BE at different weights (AUTH is 1.888 on the frontend and 2.517 on the backend, and so on). The PDF does not label which table belongs to which module, so each column was summed and matched against the module totals printed on the same page; all five match to within decimal rounding, so the assignment is evidence, not a guess. The board now carries 38 task rows across MOD-FE/BE/ANA/DB/CORE and no (unmapped) row. NOTE: it totals 89.999, not 90.000. The source states every weight to three decimals and 38 of them do not re-sum exactly; the PDF's own module subtotals add to 90.001. The thousandth was left rather than fudged into a row to make the figure look round.</t>
        </is>
      </c>
      <c r="G18" s="9" t="inlineStr">
        <is>
          <t>The (unmapped) row is gone and every task sits under its real module.</t>
        </is>
      </c>
      <c r="H18" s="38" t="inlineStr">
        <is>
          <t>Done</t>
        </is>
      </c>
      <c r="I18" s="70" t="inlineStr">
        <is>
          <t>(overhead)</t>
        </is>
      </c>
      <c r="J18" s="78" t="inlineStr">
        <is>
          <t>-</t>
        </is>
      </c>
    </row>
    <row r="19" ht="62" customHeight="1">
      <c r="A19" s="27" t="inlineStr"/>
      <c r="B19" s="9" t="inlineStr"/>
      <c r="C19" s="9" t="inlineStr">
        <is>
          <t>18:30 - 22:30</t>
        </is>
      </c>
      <c r="D19" s="39" t="inlineStr">
        <is>
          <t>Manuscript</t>
        </is>
      </c>
      <c r="E19" s="27" t="inlineStr">
        <is>
          <t>3.14 Deployment Plans</t>
        </is>
      </c>
      <c r="F19" s="9" t="inlineStr">
        <is>
          <t>Rewrite section 3.14 (p228) against the deployment you actually stood up on Sep 29. The current text describes something untested.</t>
        </is>
      </c>
      <c r="G19" s="9" t="inlineStr">
        <is>
          <t>3.14 matches the real deploy, with the build command and env vars named.</t>
        </is>
      </c>
      <c r="H19" s="38" t="inlineStr">
        <is>
          <t>Not started</t>
        </is>
      </c>
      <c r="I19" s="70" t="inlineStr">
        <is>
          <t>;MANUSCRIPT;</t>
        </is>
      </c>
      <c r="J19" s="79" t="inlineStr">
        <is>
          <t>;R07;</t>
        </is>
      </c>
    </row>
    <row r="20">
      <c r="A20" s="43" t="inlineStr">
        <is>
          <t>GATE 21:00 - the 0% tasks demoable</t>
        </is>
      </c>
      <c r="B20" s="51" t="n"/>
      <c r="C20" s="51" t="n"/>
      <c r="D20" s="51" t="n"/>
      <c r="E20" s="51" t="n"/>
      <c r="F20" s="51" t="n"/>
      <c r="G20" s="51" t="n"/>
      <c r="H20" s="52" t="n"/>
    </row>
    <row r="21" ht="70" customHeight="1">
      <c r="A21" s="40" t="inlineStr">
        <is>
          <t>2026-10-04</t>
        </is>
      </c>
      <c r="B21" s="41" t="inlineStr">
        <is>
          <t>Sun</t>
        </is>
      </c>
      <c r="C21" s="41" t="inlineStr">
        <is>
          <t>10:00 - 14:00</t>
        </is>
      </c>
      <c r="D21" s="41" t="inlineStr">
        <is>
          <t>Code</t>
        </is>
      </c>
      <c r="E21" s="40" t="inlineStr">
        <is>
          <t>Ch4 placeholders</t>
        </is>
      </c>
      <c r="F21" s="41" t="inlineStr">
        <is>
          <t>Work the bracketed values through Chapter 4. DONE 8 Oct -&gt; Chapter4_Revised_4.1_Results.md. Every placeholder in 4.1 replaced with a value read from the warehouse or the endpoint that renders the matching panel; 15 computed figures re-checked by arithmetic. Note 1 was right: 5 claims run the WRONG WAY. Holidays are 20 of 21 BELOW baseline (Good Friday -49%), not above. Wet weather raises CRASHES 19.3% but not incidents overall (breakdowns outnumber crashes 8:1 and are slightly lower in wet). Observed jam speed is HIGHER in wet, not lower. Volume champion is Prophet, not LSTM (rank 7 of 8, rejected). At the 90/10 split NOTHING is accepted. Also: incident champion carries an OVERFITTING diagnosis; 9 named analyses are not implemented in the build; the emission strategy panel is hardcoded ILLUSTRATIVE; and non-Waze speed is SYNTHETIC per the warehouse's own evaluation records - that disclosure is not in the draft at all. 16 corrections listed in section 4.1.6.</t>
        </is>
      </c>
      <c r="G21" s="41" t="inlineStr">
        <is>
          <t>No bracketed placeholder left in 4.1, and each sentence still says something true.</t>
        </is>
      </c>
      <c r="H21" s="42" t="inlineStr">
        <is>
          <t>Done</t>
        </is>
      </c>
      <c r="I21" s="70" t="inlineStr">
        <is>
          <t>;MANUSCRIPT;</t>
        </is>
      </c>
      <c r="J21" s="79" t="inlineStr">
        <is>
          <t>;C07;</t>
        </is>
      </c>
    </row>
    <row r="22" ht="62" customHeight="1">
      <c r="A22" s="40" t="inlineStr"/>
      <c r="B22" s="41" t="inlineStr"/>
      <c r="C22" s="41" t="inlineStr">
        <is>
          <t>14:00 - 18:30</t>
        </is>
      </c>
      <c r="D22" s="41" t="inlineStr">
        <is>
          <t>Code</t>
        </is>
      </c>
      <c r="E22" s="40" t="inlineStr">
        <is>
          <t>MOD-FE</t>
        </is>
      </c>
      <c r="F22" s="41" t="inlineStr">
        <is>
          <t>Contrast and accessibility sweep across every page in both themes. DONE 7 Oct, nothing to fix. 10 dashboard pages x light and dark = 20 runs, ~10,000 text-bearing elements scored against the surface each is actually painted on, walking up the tree for transparent backgrounds. Result: 0 elements below 3:1. Theme switching was verified separately rather than assumed - light resolves --bg-body to #eef5fd and dark to #0a1838, with data-theme set on the root - because light and dark returned identical element counts and that would also be the signature of the theme never switching. CAVEAT: 4-6 elements per page sit on a gradient or image and are reported, not scored; a single computed background cannot represent what is behind them. Those need an eye, not a probe. The NLEX Daylight redesign held contrast well - this found nothing to fix.</t>
        </is>
      </c>
      <c r="G22" s="41" t="inlineStr">
        <is>
          <t>No text under 3:1 on any dashboard page.</t>
        </is>
      </c>
      <c r="H22" s="42" t="inlineStr">
        <is>
          <t>Done</t>
        </is>
      </c>
      <c r="I22" s="71" t="inlineStr">
        <is>
          <t>(overhead)</t>
        </is>
      </c>
      <c r="J22" s="78" t="inlineStr">
        <is>
          <t>-</t>
        </is>
      </c>
    </row>
    <row r="23" ht="62" customHeight="1">
      <c r="A23" s="40" t="inlineStr"/>
      <c r="B23" s="41" t="inlineStr"/>
      <c r="C23" s="41" t="inlineStr">
        <is>
          <t>18:30 - 22:30</t>
        </is>
      </c>
      <c r="D23" s="39" t="inlineStr">
        <is>
          <t>Manuscript</t>
        </is>
      </c>
      <c r="E23" s="40" t="inlineStr">
        <is>
          <t>3.7 Mock-ups</t>
        </is>
      </c>
      <c r="F23" s="41" t="inlineStr">
        <is>
          <t>Replace the mock-ups in 3.7 with screenshots of what shipped. DONE 8 Oct, via Chapter 4: 32 panels captured live from the running dashboard and embedded, plus the 4 existing figures = 36. MFA blocked this at first - the shell now drops a password-only (aal1) session, so a scripted login appeared to work then silently signed itself out. Enrolled TOTP on a fresh capture account to mint an aal2 session. TWO PANELS IN THE DRAFT NO LONGER EXIST: Secondary Incident Risk and Time to Clear are gone, replaced by Response Time Breakdown and Predicted Median Response Time - those screenshots must be swapped. THREE PANELS PREVIOUSLY CALLED MISSING NOW EXIST: Booth Staffing Plan, Congestion Response Advisory, and the emission strategies, which are now COMPUTED (3.39/0.48/0.33%), not the old hardcoded Strategy A/B/C mock.</t>
        </is>
      </c>
      <c r="G23" s="41" t="inlineStr">
        <is>
          <t>Every mock-up is either a real screenshot or labelled as a design-stage artefact.</t>
        </is>
      </c>
      <c r="H23" s="42" t="inlineStr">
        <is>
          <t>Done</t>
        </is>
      </c>
      <c r="I23" s="70" t="inlineStr">
        <is>
          <t>;MANUSCRIPT;</t>
        </is>
      </c>
      <c r="J23" s="79" t="inlineStr">
        <is>
          <t>;R05;</t>
        </is>
      </c>
    </row>
    <row r="24" ht="62" customHeight="1">
      <c r="A24" s="27" t="inlineStr">
        <is>
          <t>2026-10-05</t>
        </is>
      </c>
      <c r="B24" s="9" t="inlineStr">
        <is>
          <t>Mon</t>
        </is>
      </c>
      <c r="C24" s="9" t="inlineStr">
        <is>
          <t>10:00 - 14:00</t>
        </is>
      </c>
      <c r="D24" s="9" t="inlineStr">
        <is>
          <t>Code</t>
        </is>
      </c>
      <c r="E24" s="27" t="inlineStr">
        <is>
          <t>DATAUP</t>
        </is>
      </c>
      <c r="F24" s="9" t="inlineStr">
        <is>
          <t>Close the remaining Data Management and Upload Page subtasks. DONE 7 Oct - there were none remaining. The acceptance file already records all 8 DATAUP subtasks complete (2.517 of 2.517), including its UAT-01. What was worth checking is that the page still works after the upload endpoints went behind authenticateToken + data-analyst on 1 Oct: /history, /formats and /retraining all answer 401 without a token and 200 with one, and the page routes every call through lib/api.ts, so it carries the session. No regression. NOTE: UPLOAD (2.203/1.888, the backend half of the same page) is Ysa's, not this block's.</t>
        </is>
      </c>
      <c r="G24" s="9" t="inlineStr">
        <is>
          <t>Upload page meets its acceptance criteria.</t>
        </is>
      </c>
      <c r="H24" s="38" t="inlineStr">
        <is>
          <t>Done</t>
        </is>
      </c>
      <c r="I24" s="70" t="inlineStr">
        <is>
          <t>;DATAUP;</t>
        </is>
      </c>
      <c r="J24" s="78" t="inlineStr">
        <is>
          <t>-</t>
        </is>
      </c>
    </row>
    <row r="25" ht="62" customHeight="1">
      <c r="A25" s="27" t="inlineStr"/>
      <c r="B25" s="9" t="inlineStr"/>
      <c r="C25" s="9" t="inlineStr">
        <is>
          <t>14:00 - 16:30</t>
        </is>
      </c>
      <c r="D25" s="9" t="inlineStr">
        <is>
          <t>Code</t>
        </is>
      </c>
      <c r="E25" s="27" t="inlineStr">
        <is>
          <t>MOD-FE</t>
        </is>
      </c>
      <c r="F25" s="9" t="inlineStr">
        <is>
          <t>Final polish pass. Anything cosmetic you have been meaning to fix, do it now - after Oct 6 only defects get touched.</t>
        </is>
      </c>
      <c r="G25" s="9" t="inlineStr">
        <is>
          <t>Your own snag list is empty.</t>
        </is>
      </c>
      <c r="H25" s="38" t="inlineStr">
        <is>
          <t>Not started</t>
        </is>
      </c>
      <c r="I25" s="71" t="inlineStr">
        <is>
          <t>(overhead)</t>
        </is>
      </c>
      <c r="J25" s="78" t="inlineStr">
        <is>
          <t>-</t>
        </is>
      </c>
    </row>
    <row r="26" ht="62" customHeight="1">
      <c r="A26" s="27" t="inlineStr"/>
      <c r="B26" s="9" t="inlineStr"/>
      <c r="C26" s="9" t="inlineStr">
        <is>
          <t>16:30 - 22:30</t>
        </is>
      </c>
      <c r="D26" s="39" t="inlineStr">
        <is>
          <t>Manuscript</t>
        </is>
      </c>
      <c r="E26" s="27" t="inlineStr">
        <is>
          <t>3.7 / 3.8</t>
        </is>
      </c>
      <c r="F26" s="9" t="inlineStr">
        <is>
          <t>Finish 3.7 and revise 3.8 System Generated Outputs (p178) to list the outputs the dashboard actually produces.</t>
        </is>
      </c>
      <c r="G26" s="9" t="inlineStr">
        <is>
          <t>Both sections match the built system.</t>
        </is>
      </c>
      <c r="H26" s="38" t="inlineStr">
        <is>
          <t>Not started</t>
        </is>
      </c>
      <c r="I26" s="70" t="inlineStr">
        <is>
          <t>;MANUSCRIPT;</t>
        </is>
      </c>
      <c r="J26" s="79" t="inlineStr">
        <is>
          <t>;R06;</t>
        </is>
      </c>
    </row>
    <row r="27" ht="62" customHeight="1">
      <c r="A27" s="40" t="inlineStr">
        <is>
          <t>2026-10-06</t>
        </is>
      </c>
      <c r="B27" s="41" t="inlineStr">
        <is>
          <t>Tue</t>
        </is>
      </c>
      <c r="C27" s="41" t="inlineStr">
        <is>
          <t>10:00 - 14:00</t>
        </is>
      </c>
      <c r="D27" s="41" t="inlineStr">
        <is>
          <t>Code</t>
        </is>
      </c>
      <c r="E27" s="40" t="inlineStr">
        <is>
          <t>MOD-FE</t>
        </is>
      </c>
      <c r="F27" s="41" t="inlineStr">
        <is>
          <t>Close every remaining MOD-FE subtask. This is the last day code changes.</t>
        </is>
      </c>
      <c r="G27" s="41" t="inlineStr">
        <is>
          <t>MOD-FE at 100% on the board.</t>
        </is>
      </c>
      <c r="H27" s="42" t="inlineStr">
        <is>
          <t>Not started</t>
        </is>
      </c>
      <c r="I27" s="71" t="inlineStr">
        <is>
          <t>(overhead)</t>
        </is>
      </c>
      <c r="J27" s="78" t="inlineStr">
        <is>
          <t>-</t>
        </is>
      </c>
    </row>
    <row r="28" ht="62" customHeight="1">
      <c r="A28" s="40" t="inlineStr"/>
      <c r="B28" s="41" t="inlineStr"/>
      <c r="C28" s="41" t="inlineStr">
        <is>
          <t>14:00 - 14:30</t>
        </is>
      </c>
      <c r="D28" s="41" t="inlineStr">
        <is>
          <t>Code</t>
        </is>
      </c>
      <c r="E28" s="40" t="inlineStr">
        <is>
          <t>FREEZE</t>
        </is>
      </c>
      <c r="F28" s="41" t="inlineStr">
        <is>
          <t>Run the freeze: full build, tag the release, write down the commit hash. Nothing merges after 22:30 except defect fixes.</t>
        </is>
      </c>
      <c r="G28" s="41" t="inlineStr">
        <is>
          <t>A tagged commit exists and the build from it is deployed.</t>
        </is>
      </c>
      <c r="H28" s="42" t="inlineStr">
        <is>
          <t>Not started</t>
        </is>
      </c>
      <c r="I28" s="71" t="inlineStr">
        <is>
          <t>(overhead)</t>
        </is>
      </c>
      <c r="J28" s="78" t="inlineStr">
        <is>
          <t>-</t>
        </is>
      </c>
    </row>
    <row r="29" ht="62" customHeight="1">
      <c r="A29" s="40" t="inlineStr"/>
      <c r="B29" s="41" t="inlineStr"/>
      <c r="C29" s="41" t="inlineStr">
        <is>
          <t>14:30 - 22:30</t>
        </is>
      </c>
      <c r="D29" s="39" t="inlineStr">
        <is>
          <t>Manuscript</t>
        </is>
      </c>
      <c r="E29" s="40" t="inlineStr">
        <is>
          <t>1.4 / 1.5</t>
        </is>
      </c>
      <c r="F29" s="41" t="inlineStr">
        <is>
          <t>Revise 1.4 Purpose and Objectives (p8) and 1.5 Scope and Limitations (p11). State honestly where objective coverage is partial, and restate the data limits: SCTEX hourly gap, the emissions total moving 143k to 188k tonnes.</t>
        </is>
      </c>
      <c r="G29" s="41" t="inlineStr">
        <is>
          <t>No claim in Ch.1 that the demo cannot support.</t>
        </is>
      </c>
      <c r="H29" s="42" t="inlineStr">
        <is>
          <t>Not started</t>
        </is>
      </c>
      <c r="I29" s="70" t="inlineStr">
        <is>
          <t>;MANUSCRIPT;</t>
        </is>
      </c>
      <c r="J29" s="79" t="inlineStr">
        <is>
          <t>;R10;R04;</t>
        </is>
      </c>
    </row>
    <row r="30">
      <c r="A30" s="43" t="inlineStr">
        <is>
          <t>GATE 22:30 - SYSTEM 90%, CODE FREEZE</t>
        </is>
      </c>
      <c r="B30" s="51" t="n"/>
      <c r="C30" s="51" t="n"/>
      <c r="D30" s="51" t="n"/>
      <c r="E30" s="51" t="n"/>
      <c r="F30" s="51" t="n"/>
      <c r="G30" s="51" t="n"/>
      <c r="H30" s="52" t="n"/>
    </row>
    <row r="31" ht="62" customHeight="1">
      <c r="A31" s="27" t="inlineStr">
        <is>
          <t>2026-10-07</t>
        </is>
      </c>
      <c r="B31" s="9" t="inlineStr">
        <is>
          <t>Wed</t>
        </is>
      </c>
      <c r="C31" s="9" t="inlineStr">
        <is>
          <t>10:00 - 14:00</t>
        </is>
      </c>
      <c r="D31" s="9" t="inlineStr">
        <is>
          <t>Code</t>
        </is>
      </c>
      <c r="E31" s="27" t="inlineStr">
        <is>
          <t>FIX</t>
        </is>
      </c>
      <c r="F31" s="9" t="inlineStr">
        <is>
          <t>Work Jertz's defect list. Highest severity first. Nothing else.</t>
        </is>
      </c>
      <c r="G31" s="9" t="inlineStr">
        <is>
          <t>Every Critical and High defect is closed and retested.</t>
        </is>
      </c>
      <c r="H31" s="38" t="inlineStr">
        <is>
          <t>Not started</t>
        </is>
      </c>
      <c r="I31" s="71" t="inlineStr">
        <is>
          <t>(overhead)</t>
        </is>
      </c>
      <c r="J31" s="78" t="inlineStr">
        <is>
          <t>-</t>
        </is>
      </c>
    </row>
    <row r="32" ht="62" customHeight="1">
      <c r="A32" s="27" t="inlineStr"/>
      <c r="B32" s="9" t="inlineStr"/>
      <c r="C32" s="9" t="inlineStr">
        <is>
          <t>14:00 - 12:30</t>
        </is>
      </c>
      <c r="D32" s="9" t="inlineStr">
        <is>
          <t>Code</t>
        </is>
      </c>
      <c r="E32" s="27" t="inlineStr">
        <is>
          <t>FIX</t>
        </is>
      </c>
      <c r="F32" s="9" t="inlineStr">
        <is>
          <t>Continue the defect list.</t>
        </is>
      </c>
      <c r="G32" s="9" t="inlineStr">
        <is>
          <t>Queue is empty or the remainder is agreed as known issues.</t>
        </is>
      </c>
      <c r="H32" s="38" t="inlineStr">
        <is>
          <t>Not started</t>
        </is>
      </c>
      <c r="I32" s="71" t="inlineStr">
        <is>
          <t>(overhead)</t>
        </is>
      </c>
      <c r="J32" s="78" t="inlineStr">
        <is>
          <t>-</t>
        </is>
      </c>
    </row>
    <row r="33" ht="62" customHeight="1">
      <c r="A33" s="27" t="inlineStr"/>
      <c r="B33" s="9" t="inlineStr"/>
      <c r="C33" s="9" t="inlineStr">
        <is>
          <t>12:30 - 22:30</t>
        </is>
      </c>
      <c r="D33" s="39" t="inlineStr">
        <is>
          <t>Manuscript</t>
        </is>
      </c>
      <c r="E33" s="27" t="inlineStr">
        <is>
          <t>MS-01 DATAUP + MOD-FE</t>
        </is>
      </c>
      <c r="F33" s="9" t="inlineStr">
        <is>
          <t>Document the Data Management page in Chapter 4 and close out the MOD-FE manuscript block.</t>
        </is>
      </c>
      <c r="G33" s="9" t="inlineStr">
        <is>
          <t>MOD-FE manuscript weight at 100%.</t>
        </is>
      </c>
      <c r="H33" s="38" t="inlineStr">
        <is>
          <t>Not started</t>
        </is>
      </c>
      <c r="I33" s="70" t="inlineStr">
        <is>
          <t>;MOD-FE;</t>
        </is>
      </c>
      <c r="J33" s="79" t="inlineStr">
        <is>
          <t>;MS:DATAUP;</t>
        </is>
      </c>
    </row>
    <row r="34" ht="72" customHeight="1">
      <c r="A34" s="40" t="inlineStr">
        <is>
          <t>2026-10-08</t>
        </is>
      </c>
      <c r="B34" s="41" t="inlineStr">
        <is>
          <t>Thu</t>
        </is>
      </c>
      <c r="C34" s="41" t="inlineStr">
        <is>
          <t>10:00 - 14:00</t>
        </is>
      </c>
      <c r="D34" s="41" t="inlineStr">
        <is>
          <t>Code</t>
        </is>
      </c>
      <c r="E34" s="40" t="inlineStr">
        <is>
          <t>Notes for the Group</t>
        </is>
      </c>
      <c r="F34" s="41" t="inlineStr">
        <is>
          <t>Add the Tailwind deviation as item 7 of Notes for the Group, using the convention already applied beneath Figures 4.1.9, 4.1.24 and 4.1.28.</t>
        </is>
      </c>
      <c r="G34" s="41" t="inlineStr">
        <is>
          <t>Item 7 written.</t>
        </is>
      </c>
      <c r="H34" s="42" t="inlineStr">
        <is>
          <t>Not started</t>
        </is>
      </c>
      <c r="I34" s="70" t="inlineStr">
        <is>
          <t>;MANUSCRIPT;</t>
        </is>
      </c>
      <c r="J34" s="79" t="inlineStr">
        <is>
          <t>;C08;</t>
        </is>
      </c>
    </row>
    <row r="35" ht="62" customHeight="1">
      <c r="A35" s="40" t="inlineStr"/>
      <c r="B35" s="41" t="inlineStr"/>
      <c r="C35" s="41" t="inlineStr">
        <is>
          <t>14:00 - 10:00</t>
        </is>
      </c>
      <c r="D35" s="41" t="inlineStr">
        <is>
          <t>Code</t>
        </is>
      </c>
      <c r="E35" s="40" t="inlineStr">
        <is>
          <t>-</t>
        </is>
      </c>
      <c r="F35" s="41" t="inlineStr">
        <is>
          <t>No code today.</t>
        </is>
      </c>
      <c r="G35" s="41" t="inlineStr">
        <is>
          <t>-</t>
        </is>
      </c>
      <c r="H35" s="42" t="inlineStr">
        <is>
          <t>Not started</t>
        </is>
      </c>
      <c r="I35" s="71" t="inlineStr">
        <is>
          <t>(overhead)</t>
        </is>
      </c>
      <c r="J35" s="78" t="inlineStr">
        <is>
          <t>-</t>
        </is>
      </c>
    </row>
    <row r="36" ht="62" customHeight="1">
      <c r="A36" s="40" t="inlineStr"/>
      <c r="B36" s="41" t="inlineStr"/>
      <c r="C36" s="41" t="inlineStr">
        <is>
          <t>10:00 - 22:30</t>
        </is>
      </c>
      <c r="D36" s="39" t="inlineStr">
        <is>
          <t>Manuscript</t>
        </is>
      </c>
      <c r="E36" s="40" t="inlineStr">
        <is>
          <t>Manuscript</t>
        </is>
      </c>
      <c r="F36" s="41" t="inlineStr">
        <is>
          <t>Full read-through of Chapters 1-5 end to end. Check every figure is placed and captioned, every cross-reference resolves, and the voice is consistent across four authors.</t>
        </is>
      </c>
      <c r="G36" s="41" t="inlineStr">
        <is>
          <t>One person has read the whole document in one sitting and the fixes are made.</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Hans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62" customHeight="1">
      <c r="A5" s="27" t="inlineStr">
        <is>
          <t>2026-09-29</t>
        </is>
      </c>
      <c r="B5" s="9" t="inlineStr">
        <is>
          <t>Tue</t>
        </is>
      </c>
      <c r="C5" s="9" t="inlineStr">
        <is>
          <t>10:00 - 14:00</t>
        </is>
      </c>
      <c r="D5" s="9" t="inlineStr">
        <is>
          <t>Code</t>
        </is>
      </c>
      <c r="E5" s="27" t="inlineStr">
        <is>
          <t>PRESCRIBE</t>
        </is>
      </c>
      <c r="F5" s="9" t="inlineStr">
        <is>
          <t>Define the optimisation before writing code. For each of the three strategies: what is the objective function, what are the decision variables, what are the constraints, and what data feeds it. Write it on one page.</t>
        </is>
      </c>
      <c r="G5" s="9" t="inlineStr">
        <is>
          <t>A one-page spec exists that someone else could implement from.</t>
        </is>
      </c>
      <c r="H5" s="38" t="inlineStr">
        <is>
          <t>Not started</t>
        </is>
      </c>
      <c r="I5" s="70" t="inlineStr">
        <is>
          <t>;PRESCRIBE;</t>
        </is>
      </c>
      <c r="J5" s="78" t="inlineStr">
        <is>
          <t>-</t>
        </is>
      </c>
    </row>
    <row r="6" ht="62" customHeight="1">
      <c r="A6" s="27" t="inlineStr"/>
      <c r="B6" s="9" t="inlineStr"/>
      <c r="C6" s="9" t="inlineStr">
        <is>
          <t>14:00 - 20:30</t>
        </is>
      </c>
      <c r="D6" s="9" t="inlineStr">
        <is>
          <t>Code</t>
        </is>
      </c>
      <c r="E6" s="27" t="inlineStr">
        <is>
          <t>PRESCRIBE</t>
        </is>
      </c>
      <c r="F6" s="9" t="inlineStr">
        <is>
          <t>Build the emissions optimiser. The current Strategy X/Y/Z are hardcoded constants labelled ILLUSTRATIVE in the UI - replace them with a model that reads real corridor data.</t>
        </is>
      </c>
      <c r="G6" s="9" t="inlineStr">
        <is>
          <t>The strategies compute from data and change when the inputs change.</t>
        </is>
      </c>
      <c r="H6" s="38" t="inlineStr">
        <is>
          <t>Not started</t>
        </is>
      </c>
      <c r="I6" s="70" t="inlineStr">
        <is>
          <t>;PRESCRIBE;</t>
        </is>
      </c>
      <c r="J6" s="78" t="inlineStr">
        <is>
          <t>-</t>
        </is>
      </c>
    </row>
    <row r="7" ht="72" customHeight="1">
      <c r="A7" s="27" t="inlineStr"/>
      <c r="B7" s="9" t="inlineStr"/>
      <c r="C7" s="9" t="inlineStr">
        <is>
          <t>20:30 - 22:30</t>
        </is>
      </c>
      <c r="D7" s="39" t="inlineStr">
        <is>
          <t>Manuscript</t>
        </is>
      </c>
      <c r="E7" s="27" t="inlineStr">
        <is>
          <t>TRAFFIC close-out</t>
        </is>
      </c>
      <c r="F7" s="9" t="inlineStr">
        <is>
          <t>Three small traffic tasks are unfinished and were scheduled nowhere: TRAFFICFC (0.630 left), TRAFFIC (0.315) and TRAFFICDESC (0.315). All three are near-complete. Close them tonight while they are cheap.</t>
        </is>
      </c>
      <c r="G7" s="9" t="inlineStr">
        <is>
          <t>All three at 100% on the Priority Board.</t>
        </is>
      </c>
      <c r="H7" s="38" t="inlineStr">
        <is>
          <t>Not started</t>
        </is>
      </c>
      <c r="I7" s="70" t="inlineStr">
        <is>
          <t>;TRAFFICFC;TRAFFIC;TRAFFICDESC;</t>
        </is>
      </c>
      <c r="J7" s="78" t="inlineStr">
        <is>
          <t>-</t>
        </is>
      </c>
    </row>
    <row r="8" ht="62" customHeight="1">
      <c r="A8" s="40" t="inlineStr">
        <is>
          <t>2026-09-30</t>
        </is>
      </c>
      <c r="B8" s="41" t="inlineStr">
        <is>
          <t>Wed</t>
        </is>
      </c>
      <c r="C8" s="41" t="inlineStr">
        <is>
          <t>10:00 - 14:00</t>
        </is>
      </c>
      <c r="D8" s="41" t="inlineStr">
        <is>
          <t>Code</t>
        </is>
      </c>
      <c r="E8" s="40" t="inlineStr">
        <is>
          <t>PRESCRIBE</t>
        </is>
      </c>
      <c r="F8" s="41" t="inlineStr">
        <is>
          <t>Build the traffic-side optimiser: booth staffing and congestion response. The panels exist (PrescriptiveTrafficPanels.tsx) - give them a real model behind the API.</t>
        </is>
      </c>
      <c r="G8" s="41" t="inlineStr">
        <is>
          <t>Booth staffing recommendations change with volume and time of day.</t>
        </is>
      </c>
      <c r="H8" s="42" t="inlineStr">
        <is>
          <t>Not started</t>
        </is>
      </c>
      <c r="I8" s="70" t="inlineStr">
        <is>
          <t>;PRESCRIBE;</t>
        </is>
      </c>
      <c r="J8" s="78" t="inlineStr">
        <is>
          <t>-</t>
        </is>
      </c>
    </row>
    <row r="9" ht="62" customHeight="1">
      <c r="A9" s="40" t="inlineStr"/>
      <c r="B9" s="41" t="inlineStr"/>
      <c r="C9" s="41" t="inlineStr">
        <is>
          <t>14:00 - 20:30</t>
        </is>
      </c>
      <c r="D9" s="41" t="inlineStr">
        <is>
          <t>Code</t>
        </is>
      </c>
      <c r="E9" s="40" t="inlineStr">
        <is>
          <t>PRESCRIBE</t>
        </is>
      </c>
      <c r="F9" s="41" t="inlineStr">
        <is>
          <t>Wire both optimisers to real endpoints and remove the ILLUSTRATIVE labels once the numbers are real.</t>
        </is>
      </c>
      <c r="G9" s="41" t="inlineStr">
        <is>
          <t>No panel on the Prescriptive tabs is showing a hardcoded constant.</t>
        </is>
      </c>
      <c r="H9" s="42" t="inlineStr">
        <is>
          <t>Not started</t>
        </is>
      </c>
      <c r="I9" s="70" t="inlineStr">
        <is>
          <t>;PRESCRIBE;</t>
        </is>
      </c>
      <c r="J9" s="78" t="inlineStr">
        <is>
          <t>-</t>
        </is>
      </c>
    </row>
    <row r="10" ht="62" customHeight="1">
      <c r="A10" s="40" t="inlineStr"/>
      <c r="B10" s="41" t="inlineStr"/>
      <c r="C10" s="41" t="inlineStr">
        <is>
          <t>20:30 - 22:30</t>
        </is>
      </c>
      <c r="D10" s="39" t="inlineStr">
        <is>
          <t>Manuscript</t>
        </is>
      </c>
      <c r="E10" s="40" t="inlineStr">
        <is>
          <t>MS-01 TRAFFICFC</t>
        </is>
      </c>
      <c r="F10" s="41" t="inlineStr">
        <is>
          <t>Document the traffic forecasting model: HoltWinters as champion, how it was selected, and the walk-forward validation.</t>
        </is>
      </c>
      <c r="G10" s="41" t="inlineStr">
        <is>
          <t>Section written with the real champion, not LSTM.</t>
        </is>
      </c>
      <c r="H10" s="42" t="inlineStr">
        <is>
          <t>Not started</t>
        </is>
      </c>
      <c r="I10" s="70" t="inlineStr">
        <is>
          <t>;MOD-ANA;</t>
        </is>
      </c>
      <c r="J10" s="79" t="inlineStr">
        <is>
          <t>;MS:TRAFFICFC;MS:TRAFFIC;MS:TRAFFICDESC;</t>
        </is>
      </c>
    </row>
    <row r="11" ht="62" customHeight="1">
      <c r="A11" s="27" t="inlineStr">
        <is>
          <t>2026-10-01</t>
        </is>
      </c>
      <c r="B11" s="9" t="inlineStr">
        <is>
          <t>Thu</t>
        </is>
      </c>
      <c r="C11" s="9" t="inlineStr">
        <is>
          <t>10:00 - 14:00</t>
        </is>
      </c>
      <c r="D11" s="9" t="inlineStr">
        <is>
          <t>Code</t>
        </is>
      </c>
      <c r="E11" s="27" t="inlineStr">
        <is>
          <t>PRESCRIBE</t>
        </is>
      </c>
      <c r="F11" s="9" t="inlineStr">
        <is>
          <t>Finish and test. Edge cases: no data for a segment, extreme demand, a closed lane.</t>
        </is>
      </c>
      <c r="G11" s="9" t="inlineStr">
        <is>
          <t>PRESCRIBE meets every acceptance criterion.</t>
        </is>
      </c>
      <c r="H11" s="38" t="inlineStr">
        <is>
          <t>Not started</t>
        </is>
      </c>
      <c r="I11" s="70" t="inlineStr">
        <is>
          <t>;PRESCRIBE;</t>
        </is>
      </c>
      <c r="J11" s="78" t="inlineStr">
        <is>
          <t>-</t>
        </is>
      </c>
    </row>
    <row r="12" ht="62" customHeight="1">
      <c r="A12" s="27" t="inlineStr"/>
      <c r="B12" s="9" t="inlineStr"/>
      <c r="C12" s="9" t="inlineStr">
        <is>
          <t>14:00 - 19:30</t>
        </is>
      </c>
      <c r="D12" s="9" t="inlineStr">
        <is>
          <t>Code</t>
        </is>
      </c>
      <c r="E12" s="27" t="inlineStr">
        <is>
          <t>MODEVAL</t>
        </is>
      </c>
      <c r="F12" s="9" t="inlineStr">
        <is>
          <t>Start the model evaluation suite. Assemble every model's holdout metrics in one place: volume, incident, emissions, congestion, event surge.</t>
        </is>
      </c>
      <c r="G12" s="9" t="inlineStr">
        <is>
          <t>One table holds every model, its metric, and its holdout window.</t>
        </is>
      </c>
      <c r="H12" s="38" t="inlineStr">
        <is>
          <t>Not started</t>
        </is>
      </c>
      <c r="I12" s="70" t="inlineStr">
        <is>
          <t>;MODEVAL;</t>
        </is>
      </c>
      <c r="J12" s="78" t="inlineStr">
        <is>
          <t>-</t>
        </is>
      </c>
    </row>
    <row r="13" ht="62" customHeight="1">
      <c r="A13" s="27" t="inlineStr"/>
      <c r="B13" s="9" t="inlineStr"/>
      <c r="C13" s="9" t="inlineStr">
        <is>
          <t>19:30 - 22:30</t>
        </is>
      </c>
      <c r="D13" s="39" t="inlineStr">
        <is>
          <t>Manuscript</t>
        </is>
      </c>
      <c r="E13" s="27" t="inlineStr">
        <is>
          <t>MS-01 PRESCRIBE</t>
        </is>
      </c>
      <c r="F13" s="9" t="inlineStr">
        <is>
          <t>Document the prescriptive models - objective, constraints, and how a recommendation is produced.</t>
        </is>
      </c>
      <c r="G13" s="9" t="inlineStr">
        <is>
          <t>Section complete.</t>
        </is>
      </c>
      <c r="H13" s="38" t="inlineStr">
        <is>
          <t>Not started</t>
        </is>
      </c>
      <c r="I13" s="70" t="inlineStr">
        <is>
          <t>;MOD-ANA;</t>
        </is>
      </c>
      <c r="J13" s="79" t="inlineStr">
        <is>
          <t>;MS:PRESCRIBE;</t>
        </is>
      </c>
    </row>
    <row r="14" ht="62" customHeight="1">
      <c r="A14" s="40" t="inlineStr">
        <is>
          <t>2026-10-02</t>
        </is>
      </c>
      <c r="B14" s="41" t="inlineStr">
        <is>
          <t>Fri</t>
        </is>
      </c>
      <c r="C14" s="41" t="inlineStr">
        <is>
          <t>10:00 - 14:00</t>
        </is>
      </c>
      <c r="D14" s="41" t="inlineStr">
        <is>
          <t>Code</t>
        </is>
      </c>
      <c r="E14" s="40" t="inlineStr">
        <is>
          <t>MODEVAL</t>
        </is>
      </c>
      <c r="F14" s="41" t="inlineStr">
        <is>
          <t>Check holdout discipline on every model. Confirm nothing is scored on data it trained on, and that each forecast window starts after its training data ends.</t>
        </is>
      </c>
      <c r="G14" s="41" t="inlineStr">
        <is>
          <t>Every model has a stated train/test split and it holds.</t>
        </is>
      </c>
      <c r="H14" s="42" t="inlineStr">
        <is>
          <t>Not started</t>
        </is>
      </c>
      <c r="I14" s="70" t="inlineStr">
        <is>
          <t>;MODEVAL;</t>
        </is>
      </c>
      <c r="J14" s="78" t="inlineStr">
        <is>
          <t>-</t>
        </is>
      </c>
    </row>
    <row r="15" ht="62" customHeight="1">
      <c r="A15" s="40" t="inlineStr"/>
      <c r="B15" s="41" t="inlineStr"/>
      <c r="C15" s="41" t="inlineStr">
        <is>
          <t>14:00 - 19:30</t>
        </is>
      </c>
      <c r="D15" s="41" t="inlineStr">
        <is>
          <t>Code</t>
        </is>
      </c>
      <c r="E15" s="40" t="inlineStr">
        <is>
          <t>MODEVAL</t>
        </is>
      </c>
      <c r="F15" s="41" t="inlineStr">
        <is>
          <t>Add whatever metrics are missing from the suite. Baseline comparison matters most - a model that cannot beat 'nothing changes' has to be reported as such.</t>
        </is>
      </c>
      <c r="G15" s="41" t="inlineStr">
        <is>
          <t>Every model is reported against a named baseline.</t>
        </is>
      </c>
      <c r="H15" s="42" t="inlineStr">
        <is>
          <t>Not started</t>
        </is>
      </c>
      <c r="I15" s="70" t="inlineStr">
        <is>
          <t>;MODEVAL;</t>
        </is>
      </c>
      <c r="J15" s="78" t="inlineStr">
        <is>
          <t>-</t>
        </is>
      </c>
    </row>
    <row r="16" ht="62" customHeight="1">
      <c r="A16" s="40" t="inlineStr"/>
      <c r="B16" s="41" t="inlineStr"/>
      <c r="C16" s="41" t="inlineStr">
        <is>
          <t>19:30 - 22:30</t>
        </is>
      </c>
      <c r="D16" s="39" t="inlineStr">
        <is>
          <t>Manuscript</t>
        </is>
      </c>
      <c r="E16" s="40" t="inlineStr">
        <is>
          <t>3.11 champions</t>
        </is>
      </c>
      <c r="F16" s="41" t="inlineStr">
        <is>
          <t>Revise 3.11 (p195). The manuscript names champions the pipeline did not choose. Volume is HoltWinters, not LSTM. Incidents are Poisson GLM. Emissions are Polynomial at 6.79% WMAPE. Restate every model table from the dashboard.</t>
        </is>
      </c>
      <c r="G16" s="41" t="inlineStr">
        <is>
          <t>No model table in 3.11 disagrees with the dashboard.</t>
        </is>
      </c>
      <c r="H16" s="42" t="inlineStr">
        <is>
          <t>Not started</t>
        </is>
      </c>
      <c r="I16" s="70" t="inlineStr">
        <is>
          <t>;MANUSCRIPT;</t>
        </is>
      </c>
      <c r="J16" s="79" t="inlineStr">
        <is>
          <t>;R01;C02;</t>
        </is>
      </c>
    </row>
    <row r="17" ht="62" customHeight="1">
      <c r="A17" s="27" t="inlineStr">
        <is>
          <t>2026-10-03</t>
        </is>
      </c>
      <c r="B17" s="9" t="inlineStr">
        <is>
          <t>Sat</t>
        </is>
      </c>
      <c r="C17" s="9" t="inlineStr">
        <is>
          <t>10:00 - 14:00</t>
        </is>
      </c>
      <c r="D17" s="9" t="inlineStr">
        <is>
          <t>Code</t>
        </is>
      </c>
      <c r="E17" s="27" t="inlineStr">
        <is>
          <t>MODEVAL</t>
        </is>
      </c>
      <c r="F17" s="9" t="inlineStr">
        <is>
          <t>Finish. Every model signed off with its metrics.</t>
        </is>
      </c>
      <c r="G17" s="9" t="inlineStr">
        <is>
          <t>MODEVAL at 100%.</t>
        </is>
      </c>
      <c r="H17" s="38" t="inlineStr">
        <is>
          <t>Not started</t>
        </is>
      </c>
      <c r="I17" s="70" t="inlineStr">
        <is>
          <t>;MODEVAL;</t>
        </is>
      </c>
      <c r="J17" s="78" t="inlineStr">
        <is>
          <t>-</t>
        </is>
      </c>
    </row>
    <row r="18" ht="62" customHeight="1">
      <c r="A18" s="27" t="inlineStr"/>
      <c r="B18" s="9" t="inlineStr"/>
      <c r="C18" s="9" t="inlineStr">
        <is>
          <t>14:00 - 18:30</t>
        </is>
      </c>
      <c r="D18" s="9" t="inlineStr">
        <is>
          <t>Code</t>
        </is>
      </c>
      <c r="E18" s="27" t="inlineStr">
        <is>
          <t>DATAPREP</t>
        </is>
      </c>
      <c r="F18" s="9" t="inlineStr">
        <is>
          <t>Close the analytics data preparation subtasks.</t>
        </is>
      </c>
      <c r="G18" s="9" t="inlineStr">
        <is>
          <t>DATAPREP at 100%.</t>
        </is>
      </c>
      <c r="H18" s="38" t="inlineStr">
        <is>
          <t>Not started</t>
        </is>
      </c>
      <c r="I18" s="70" t="inlineStr">
        <is>
          <t>;DATAPREP;</t>
        </is>
      </c>
      <c r="J18" s="78" t="inlineStr">
        <is>
          <t>-</t>
        </is>
      </c>
    </row>
    <row r="19" ht="62" customHeight="1">
      <c r="A19" s="27" t="inlineStr"/>
      <c r="B19" s="9" t="inlineStr"/>
      <c r="C19" s="9" t="inlineStr">
        <is>
          <t>18:30 - 22:30</t>
        </is>
      </c>
      <c r="D19" s="39" t="inlineStr">
        <is>
          <t>Manuscript</t>
        </is>
      </c>
      <c r="E19" s="27" t="inlineStr">
        <is>
          <t>3.11 event surge</t>
        </is>
      </c>
      <c r="F19" s="9" t="inlineStr">
        <is>
          <t>The 1.59x arena uplift was selection on the outcome - it picked the busiest days and then measured them. The defensible figure is 1.16x (CI 1.08-1.29) across 109 calendar events. Correct every occurrence.</t>
        </is>
      </c>
      <c r="G19" s="9" t="inlineStr">
        <is>
          <t>No 1.59x remains anywhere in the manuscript.</t>
        </is>
      </c>
      <c r="H19" s="38" t="inlineStr">
        <is>
          <t>Not started</t>
        </is>
      </c>
      <c r="I19" s="70" t="inlineStr">
        <is>
          <t>;MANUSCRIPT;</t>
        </is>
      </c>
      <c r="J19" s="79" t="inlineStr">
        <is>
          <t>;R02;C04;</t>
        </is>
      </c>
    </row>
    <row r="20">
      <c r="A20" s="43" t="inlineStr">
        <is>
          <t>GATE 21:00 - the 0% tasks demoable</t>
        </is>
      </c>
      <c r="B20" s="51" t="n"/>
      <c r="C20" s="51" t="n"/>
      <c r="D20" s="51" t="n"/>
      <c r="E20" s="51" t="n"/>
      <c r="F20" s="51" t="n"/>
      <c r="G20" s="51" t="n"/>
      <c r="H20" s="52" t="n"/>
    </row>
    <row r="21" ht="62" customHeight="1">
      <c r="A21" s="40" t="inlineStr">
        <is>
          <t>2026-10-04</t>
        </is>
      </c>
      <c r="B21" s="41" t="inlineStr">
        <is>
          <t>Sun</t>
        </is>
      </c>
      <c r="C21" s="41" t="inlineStr">
        <is>
          <t>10:00 - 14:00</t>
        </is>
      </c>
      <c r="D21" s="41" t="inlineStr">
        <is>
          <t>Code</t>
        </is>
      </c>
      <c r="E21" s="40" t="inlineStr">
        <is>
          <t>DATA / CACHE</t>
        </is>
      </c>
      <c r="F21" s="41" t="inlineStr">
        <is>
          <t>Close the Core Traffic Data Schema and the Redis cache subtasks.</t>
        </is>
      </c>
      <c r="G21" s="41" t="inlineStr">
        <is>
          <t>Both tasks at 100%.</t>
        </is>
      </c>
      <c r="H21" s="42" t="inlineStr">
        <is>
          <t>Not started</t>
        </is>
      </c>
      <c r="I21" s="70" t="inlineStr">
        <is>
          <t>;DATA;</t>
        </is>
      </c>
      <c r="J21" s="78" t="inlineStr">
        <is>
          <t>-</t>
        </is>
      </c>
    </row>
    <row r="22" ht="62" customHeight="1">
      <c r="A22" s="40" t="inlineStr"/>
      <c r="B22" s="41" t="inlineStr"/>
      <c r="C22" s="41" t="inlineStr">
        <is>
          <t>14:00 - 18:30</t>
        </is>
      </c>
      <c r="D22" s="41" t="inlineStr">
        <is>
          <t>Code</t>
        </is>
      </c>
      <c r="E22" s="40" t="inlineStr">
        <is>
          <t>MOD-DB</t>
        </is>
      </c>
      <c r="F22" s="41" t="inlineStr">
        <is>
          <t>Load SCTEX into gold.fact_traffic_hourly and gold.fact_emissions_hourly. The data exists - 2,065 rows in gold.daily_emissions_summary, and gold.exit_name_map already maps 'Mabiga' and 'SCTEX Spur Road'. 19 of 20 exits are loaded; SCTEX is the gap. Nothing in this repo writes those tables.</t>
        </is>
      </c>
      <c r="G22" s="41" t="inlineStr">
        <is>
          <t>All 20 exits present in both hourly fact tables.</t>
        </is>
      </c>
      <c r="H22" s="42" t="inlineStr">
        <is>
          <t>Not started</t>
        </is>
      </c>
      <c r="I22" s="70" t="inlineStr">
        <is>
          <t>;CACHE;</t>
        </is>
      </c>
      <c r="J22" s="78" t="inlineStr">
        <is>
          <t>-</t>
        </is>
      </c>
    </row>
    <row r="23" ht="62" customHeight="1">
      <c r="A23" s="40" t="inlineStr"/>
      <c r="B23" s="41" t="inlineStr"/>
      <c r="C23" s="41" t="inlineStr">
        <is>
          <t>18:30 - 22:30</t>
        </is>
      </c>
      <c r="D23" s="39" t="inlineStr">
        <is>
          <t>Manuscript</t>
        </is>
      </c>
      <c r="E23" s="40" t="inlineStr">
        <is>
          <t>3.9 Data Gathering</t>
        </is>
      </c>
      <c r="F23" s="41" t="inlineStr">
        <is>
          <t>Revise 3.9 (p180). CDV/PH Arena now has a full hourly series and the Bocaue proxy is gone - do not describe it. State the SCTEX position as it stands after today.</t>
        </is>
      </c>
      <c r="G23" s="41" t="inlineStr">
        <is>
          <t>3.9 describes the warehouse as it is.</t>
        </is>
      </c>
      <c r="H23" s="42" t="inlineStr">
        <is>
          <t>Not started</t>
        </is>
      </c>
      <c r="I23" s="70" t="inlineStr">
        <is>
          <t>;MANUSCRIPT;</t>
        </is>
      </c>
      <c r="J23" s="79" t="inlineStr">
        <is>
          <t>;R03;</t>
        </is>
      </c>
    </row>
    <row r="24" ht="62" customHeight="1">
      <c r="A24" s="27" t="inlineStr">
        <is>
          <t>2026-10-05</t>
        </is>
      </c>
      <c r="B24" s="9" t="inlineStr">
        <is>
          <t>Mon</t>
        </is>
      </c>
      <c r="C24" s="9" t="inlineStr">
        <is>
          <t>10:00 - 14:00</t>
        </is>
      </c>
      <c r="D24" s="9" t="inlineStr">
        <is>
          <t>Code</t>
        </is>
      </c>
      <c r="E24" s="27" t="inlineStr">
        <is>
          <t>AGENT (model)</t>
        </is>
      </c>
      <c r="F24" s="9" t="inlineStr">
        <is>
          <t>Your half of the agent simulation: calibrate it against real corridor behaviour. The sandbox already runs IDM car-following and MOBIL lane changes in ai-sandbox/simulation.ts, and there is a calibration.json with tools/build_calibration.py beside it. Check the IDM parameters reproduce observed speed at observed demand, using gold.fact_traffic_hourly as truth.</t>
        </is>
      </c>
      <c r="G24" s="9" t="inlineStr">
        <is>
          <t>At a known hour of demand the sim throughput and mean speed land within a stated tolerance of the measured values, and that tolerance is written down.</t>
        </is>
      </c>
      <c r="H24" s="38" t="inlineStr">
        <is>
          <t>Not started</t>
        </is>
      </c>
      <c r="I24" s="70" t="inlineStr">
        <is>
          <t>;AGENT-M;</t>
        </is>
      </c>
      <c r="J24" s="78" t="inlineStr">
        <is>
          <t>-</t>
        </is>
      </c>
    </row>
    <row r="25" ht="62" customHeight="1">
      <c r="A25" s="27" t="inlineStr"/>
      <c r="B25" s="9" t="inlineStr"/>
      <c r="C25" s="9" t="inlineStr">
        <is>
          <t>14:00 - 16:30</t>
        </is>
      </c>
      <c r="D25" s="9" t="inlineStr">
        <is>
          <t>Code</t>
        </is>
      </c>
      <c r="E25" s="27" t="inlineStr">
        <is>
          <t>SUSTAIN + EMISSDESC</t>
        </is>
      </c>
      <c r="F25" s="9" t="inlineStr">
        <is>
          <t>Close the Sustainability and Emissions API and the emissions descriptive analytics. Both are small - 1.258 and 0.315 points - so they fit one block.</t>
        </is>
      </c>
      <c r="G25" s="9" t="inlineStr">
        <is>
          <t>SUSTAIN and EMISSDESC both at 100%.</t>
        </is>
      </c>
      <c r="H25" s="38" t="inlineStr">
        <is>
          <t>Not started</t>
        </is>
      </c>
      <c r="I25" s="70" t="inlineStr">
        <is>
          <t>;SUSTAIN;</t>
        </is>
      </c>
      <c r="J25" s="78" t="inlineStr">
        <is>
          <t>-</t>
        </is>
      </c>
    </row>
    <row r="26" ht="62" customHeight="1">
      <c r="A26" s="27" t="inlineStr"/>
      <c r="B26" s="9" t="inlineStr"/>
      <c r="C26" s="9" t="inlineStr">
        <is>
          <t>16:30 - 22:30</t>
        </is>
      </c>
      <c r="D26" s="39" t="inlineStr">
        <is>
          <t>Manuscript</t>
        </is>
      </c>
      <c r="E26" s="27" t="inlineStr">
        <is>
          <t>MS-01 SUSTAIN + EMISSDESC</t>
        </is>
      </c>
      <c r="F26" s="9" t="inlineStr">
        <is>
          <t>Document the sustainability API and the emissions descriptive analytics.</t>
        </is>
      </c>
      <c r="G26" s="9" t="inlineStr">
        <is>
          <t>Both sections written.</t>
        </is>
      </c>
      <c r="H26" s="38" t="inlineStr">
        <is>
          <t>Not started</t>
        </is>
      </c>
      <c r="I26" s="70" t="inlineStr">
        <is>
          <t>;MOD-ANA;</t>
        </is>
      </c>
      <c r="J26" s="79" t="inlineStr">
        <is>
          <t>;MS:SUSTAIN;MS:EMISSDESC;MS:DATAPREP;</t>
        </is>
      </c>
    </row>
    <row r="27" ht="62" customHeight="1">
      <c r="A27" s="40" t="inlineStr">
        <is>
          <t>2026-10-06</t>
        </is>
      </c>
      <c r="B27" s="41" t="inlineStr">
        <is>
          <t>Tue</t>
        </is>
      </c>
      <c r="C27" s="41" t="inlineStr">
        <is>
          <t>10:00 - 14:00</t>
        </is>
      </c>
      <c r="D27" s="41" t="inlineStr">
        <is>
          <t>Code</t>
        </is>
      </c>
      <c r="E27" s="40" t="inlineStr">
        <is>
          <t>MOD-ANA</t>
        </is>
      </c>
      <c r="F27" s="41" t="inlineStr">
        <is>
          <t>Close every remaining MOD-ANA subtask. Last day for model changes.</t>
        </is>
      </c>
      <c r="G27" s="41" t="inlineStr">
        <is>
          <t>MOD-ANA at 100% on the board.</t>
        </is>
      </c>
      <c r="H27" s="42" t="inlineStr">
        <is>
          <t>Not started</t>
        </is>
      </c>
      <c r="I27" s="70" t="inlineStr">
        <is>
          <t>;EMISSDESC;</t>
        </is>
      </c>
      <c r="J27" s="78" t="inlineStr">
        <is>
          <t>-</t>
        </is>
      </c>
    </row>
    <row r="28" ht="62" customHeight="1">
      <c r="A28" s="40" t="inlineStr"/>
      <c r="B28" s="41" t="inlineStr"/>
      <c r="C28" s="41" t="inlineStr">
        <is>
          <t>14:00 - 14:30</t>
        </is>
      </c>
      <c r="D28" s="41" t="inlineStr">
        <is>
          <t>Code</t>
        </is>
      </c>
      <c r="E28" s="40" t="inlineStr">
        <is>
          <t>FREEZE</t>
        </is>
      </c>
      <c r="F28" s="41" t="inlineStr">
        <is>
          <t>Freeze with Kiarra. Confirm every model the manuscript cites is the one in the tagged build.</t>
        </is>
      </c>
      <c r="G28" s="41" t="inlineStr">
        <is>
          <t>Models and manuscript agree at the frozen commit.</t>
        </is>
      </c>
      <c r="H28" s="42" t="inlineStr">
        <is>
          <t>Not started</t>
        </is>
      </c>
      <c r="I28" s="71" t="inlineStr">
        <is>
          <t>(overhead)</t>
        </is>
      </c>
      <c r="J28" s="78" t="inlineStr">
        <is>
          <t>-</t>
        </is>
      </c>
    </row>
    <row r="29" ht="62" customHeight="1">
      <c r="A29" s="40" t="inlineStr"/>
      <c r="B29" s="41" t="inlineStr"/>
      <c r="C29" s="41" t="inlineStr">
        <is>
          <t>14:30 - 22:30</t>
        </is>
      </c>
      <c r="D29" s="39" t="inlineStr">
        <is>
          <t>Manuscript</t>
        </is>
      </c>
      <c r="E29" s="40" t="inlineStr">
        <is>
          <t>3.10 / 3.12</t>
        </is>
      </c>
      <c r="F29" s="41" t="inlineStr">
        <is>
          <t>Revise 3.10 Presentation of Schema (p192) against the bronze/silver/gold warehouse as built, and 3.12 Tools and Techniques (p216) against what is actually in the repo.</t>
        </is>
      </c>
      <c r="G29" s="41" t="inlineStr">
        <is>
          <t>Both sections match reality.</t>
        </is>
      </c>
      <c r="H29" s="42" t="inlineStr">
        <is>
          <t>Not started</t>
        </is>
      </c>
      <c r="I29" s="70" t="inlineStr">
        <is>
          <t>;MANUSCRIPT;</t>
        </is>
      </c>
      <c r="J29" s="79" t="inlineStr">
        <is>
          <t>;R09;R11;</t>
        </is>
      </c>
    </row>
    <row r="30">
      <c r="A30" s="43" t="inlineStr">
        <is>
          <t>GATE 22:30 - SYSTEM 90%, CODE FREEZE</t>
        </is>
      </c>
      <c r="B30" s="51" t="n"/>
      <c r="C30" s="51" t="n"/>
      <c r="D30" s="51" t="n"/>
      <c r="E30" s="51" t="n"/>
      <c r="F30" s="51" t="n"/>
      <c r="G30" s="51" t="n"/>
      <c r="H30" s="52" t="n"/>
    </row>
    <row r="31" ht="62" customHeight="1">
      <c r="A31" s="27" t="inlineStr">
        <is>
          <t>2026-10-07</t>
        </is>
      </c>
      <c r="B31" s="9" t="inlineStr">
        <is>
          <t>Wed</t>
        </is>
      </c>
      <c r="C31" s="9" t="inlineStr">
        <is>
          <t>10:00 - 14:00</t>
        </is>
      </c>
      <c r="D31" s="9" t="inlineStr">
        <is>
          <t>Code</t>
        </is>
      </c>
      <c r="E31" s="27" t="inlineStr">
        <is>
          <t>FIX</t>
        </is>
      </c>
      <c r="F31" s="9" t="inlineStr">
        <is>
          <t>Model-side defects from Jertz's QA pass.</t>
        </is>
      </c>
      <c r="G31" s="9" t="inlineStr">
        <is>
          <t>Every analytics defect closed.</t>
        </is>
      </c>
      <c r="H31" s="38" t="inlineStr">
        <is>
          <t>Not started</t>
        </is>
      </c>
      <c r="I31" s="71" t="inlineStr">
        <is>
          <t>(overhead)</t>
        </is>
      </c>
      <c r="J31" s="78" t="inlineStr">
        <is>
          <t>-</t>
        </is>
      </c>
    </row>
    <row r="32" ht="72" customHeight="1">
      <c r="A32" s="27" t="inlineStr"/>
      <c r="B32" s="9" t="inlineStr"/>
      <c r="C32" s="9" t="inlineStr">
        <is>
          <t>14:00 - 12:30</t>
        </is>
      </c>
      <c r="D32" s="9" t="inlineStr">
        <is>
          <t>Code</t>
        </is>
      </c>
      <c r="E32" s="27" t="inlineStr">
        <is>
          <t>Ch4 figure decisions</t>
        </is>
      </c>
      <c r="F32" s="9" t="inlineStr">
        <is>
          <t>Decide per figure what to do about the descriptive items the build does not have: no Speed-Flow fundamental diagram (Fig 4.1.5) and no Mapbox KDE / Getis-Ord heat layer (Fig 4.1.9). Keep the note, retitle to what shipped, or drop the item.</t>
        </is>
      </c>
      <c r="G32" s="9" t="inlineStr">
        <is>
          <t>Each figure is decided and the caption matches the build.</t>
        </is>
      </c>
      <c r="H32" s="38" t="inlineStr">
        <is>
          <t>Not started</t>
        </is>
      </c>
      <c r="I32" s="70" t="inlineStr">
        <is>
          <t>;MANUSCRIPT;</t>
        </is>
      </c>
      <c r="J32" s="79" t="inlineStr">
        <is>
          <t>;C10;</t>
        </is>
      </c>
    </row>
    <row r="33" ht="62" customHeight="1">
      <c r="A33" s="27" t="inlineStr"/>
      <c r="B33" s="9" t="inlineStr"/>
      <c r="C33" s="9" t="inlineStr">
        <is>
          <t>12:30 - 22:30</t>
        </is>
      </c>
      <c r="D33" s="39" t="inlineStr">
        <is>
          <t>Manuscript</t>
        </is>
      </c>
      <c r="E33" s="27" t="inlineStr">
        <is>
          <t>MS-01 ETL / CACHE</t>
        </is>
      </c>
      <c r="F33" s="9" t="inlineStr">
        <is>
          <t>Document the ETL pipeline and flow, the Redis cache and messaging setup, and the model training results.</t>
        </is>
      </c>
      <c r="G33" s="9" t="inlineStr">
        <is>
          <t>MOD-ANA and MOD-DB manuscript blocks complete.</t>
        </is>
      </c>
      <c r="H33" s="38" t="inlineStr">
        <is>
          <t>Not started</t>
        </is>
      </c>
      <c r="I33" s="70" t="inlineStr">
        <is>
          <t>;MOD-DB;</t>
        </is>
      </c>
      <c r="J33" s="79" t="inlineStr">
        <is>
          <t>;MS:ETL;MS:CACHE;</t>
        </is>
      </c>
    </row>
    <row r="34" ht="72" customHeight="1">
      <c r="A34" s="40" t="inlineStr">
        <is>
          <t>2026-10-08</t>
        </is>
      </c>
      <c r="B34" s="41" t="inlineStr">
        <is>
          <t>Thu</t>
        </is>
      </c>
      <c r="C34" s="41" t="inlineStr">
        <is>
          <t>10:00 - 14:00</t>
        </is>
      </c>
      <c r="D34" s="41" t="inlineStr">
        <is>
          <t>Code</t>
        </is>
      </c>
      <c r="E34" s="40" t="inlineStr">
        <is>
          <t>Table 4.1.3</t>
        </is>
      </c>
      <c r="F34" s="41" t="inlineStr">
        <is>
          <t>Populate Table 4.1.3 (record counts before and after cleaning) - every cell is an [n] placeholder. These are countable from the warehouse directly.</t>
        </is>
      </c>
      <c r="G34" s="41" t="inlineStr">
        <is>
          <t>Table 4.1.3 has real counts and a retention rate per dataset.</t>
        </is>
      </c>
      <c r="H34" s="42" t="inlineStr">
        <is>
          <t>Not started</t>
        </is>
      </c>
      <c r="I34" s="70" t="inlineStr">
        <is>
          <t>;MANUSCRIPT;</t>
        </is>
      </c>
      <c r="J34" s="79" t="inlineStr">
        <is>
          <t>;C06;</t>
        </is>
      </c>
    </row>
    <row r="35" ht="72" customHeight="1">
      <c r="A35" s="40" t="inlineStr"/>
      <c r="B35" s="41" t="inlineStr"/>
      <c r="C35" s="41" t="inlineStr">
        <is>
          <t>14:00 - 10:00</t>
        </is>
      </c>
      <c r="D35" s="41" t="inlineStr">
        <is>
          <t>Code</t>
        </is>
      </c>
      <c r="E35" s="40" t="inlineStr">
        <is>
          <t>Table 4.1.4</t>
        </is>
      </c>
      <c r="F35" s="41" t="inlineStr">
        <is>
          <t>Populate Table 4.1.4 (model benchmarking) from the benchmarking output rather than transcribing. Keep the losing models with Selected = No, as Note 5 of the draft recommends.</t>
        </is>
      </c>
      <c r="G35" s="41" t="inlineStr">
        <is>
          <t>Table 4.1.4 matches the benchmark output, champions included.</t>
        </is>
      </c>
      <c r="H35" s="42" t="inlineStr">
        <is>
          <t>Not started</t>
        </is>
      </c>
      <c r="I35" s="70" t="inlineStr">
        <is>
          <t>;MANUSCRIPT;</t>
        </is>
      </c>
      <c r="J35" s="79" t="inlineStr">
        <is>
          <t>;C05;</t>
        </is>
      </c>
    </row>
    <row r="36" ht="62" customHeight="1">
      <c r="A36" s="40" t="inlineStr"/>
      <c r="B36" s="41" t="inlineStr"/>
      <c r="C36" s="41" t="inlineStr">
        <is>
          <t>10:00 - 22:30</t>
        </is>
      </c>
      <c r="D36" s="39" t="inlineStr">
        <is>
          <t>Manuscript</t>
        </is>
      </c>
      <c r="E36" s="40" t="inlineStr">
        <is>
          <t>Manuscript</t>
        </is>
      </c>
      <c r="F36" s="41" t="inlineStr">
        <is>
          <t>Final numbers check. Every figure in Chapter 4 must match what the dashboard shows at the frozen commit. Where a number moved during the sprint, make sure the old one is gone everywhere.</t>
        </is>
      </c>
      <c r="G36" s="41" t="inlineStr">
        <is>
          <t>No figure in the manuscript disagrees with the demo.</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Jertz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62" customHeight="1">
      <c r="A5" s="27" t="inlineStr">
        <is>
          <t>2026-09-29</t>
        </is>
      </c>
      <c r="B5" s="9" t="inlineStr">
        <is>
          <t>Tue</t>
        </is>
      </c>
      <c r="C5" s="9" t="inlineStr">
        <is>
          <t>10:00 - 14:00</t>
        </is>
      </c>
      <c r="D5" s="9" t="inlineStr">
        <is>
          <t>Code</t>
        </is>
      </c>
      <c r="E5" s="27" t="inlineStr">
        <is>
          <t>INCIDENTFC</t>
        </is>
      </c>
      <c r="F5" s="9" t="inlineStr">
        <is>
          <t>CHECK THIS FIRST. The board says 0.000%, but the Incidents Predictive tab already runs a walk-forward forecast with a Poisson GLM champion and full RMSE/MAE/WMAPE/MASE against 4,361 held-out incidents. Open the tab, then read the acceptance criteria for INCIDENTFC and mark which subtasks are genuinely outstanding.</t>
        </is>
      </c>
      <c r="G5" s="9" t="inlineStr">
        <is>
          <t>You know whether this is three days of work or an afternoon of sign-off. Tell the team before lunch.</t>
        </is>
      </c>
      <c r="H5" s="38" t="inlineStr">
        <is>
          <t>Not started</t>
        </is>
      </c>
      <c r="I5" s="70" t="inlineStr">
        <is>
          <t>;INCIDENTFC;</t>
        </is>
      </c>
      <c r="J5" s="78" t="inlineStr">
        <is>
          <t>-</t>
        </is>
      </c>
    </row>
    <row r="6" ht="62" customHeight="1">
      <c r="A6" s="27" t="inlineStr"/>
      <c r="B6" s="9" t="inlineStr"/>
      <c r="C6" s="9" t="inlineStr">
        <is>
          <t>14:00 - 20:30</t>
        </is>
      </c>
      <c r="D6" s="9" t="inlineStr">
        <is>
          <t>Code</t>
        </is>
      </c>
      <c r="E6" s="27" t="inlineStr">
        <is>
          <t>INCIDENTFC</t>
        </is>
      </c>
      <c r="F6" s="9" t="inlineStr">
        <is>
          <t>Work whatever is genuinely missing. If the model is built, the gap is likely validation evidence and sign-off rather than modelling.</t>
        </is>
      </c>
      <c r="G6" s="9" t="inlineStr">
        <is>
          <t>Each INCIDENTFC subtask is either done or has a dated plan.</t>
        </is>
      </c>
      <c r="H6" s="38" t="inlineStr">
        <is>
          <t>Not started</t>
        </is>
      </c>
      <c r="I6" s="70" t="inlineStr">
        <is>
          <t>;INCIDENTFC;</t>
        </is>
      </c>
      <c r="J6" s="78" t="inlineStr">
        <is>
          <t>-</t>
        </is>
      </c>
    </row>
    <row r="7" ht="72" customHeight="1">
      <c r="A7" s="27" t="inlineStr"/>
      <c r="B7" s="9" t="inlineStr"/>
      <c r="C7" s="9" t="inlineStr">
        <is>
          <t>20:30 - 22:30</t>
        </is>
      </c>
      <c r="D7" s="39" t="inlineStr">
        <is>
          <t>Manuscript</t>
        </is>
      </c>
      <c r="E7" s="27" t="inlineStr">
        <is>
          <t>INCIDENT close-out</t>
        </is>
      </c>
      <c r="F7" s="9" t="inlineStr">
        <is>
          <t>INCIDENT (0.315 left) and INCIDENTDESC (0.315) are near-complete and were scheduled nowhere. Close both.</t>
        </is>
      </c>
      <c r="G7" s="9" t="inlineStr">
        <is>
          <t>Both at 100% on the Priority Board.</t>
        </is>
      </c>
      <c r="H7" s="38" t="inlineStr">
        <is>
          <t>Not started</t>
        </is>
      </c>
      <c r="I7" s="70" t="inlineStr">
        <is>
          <t>;INCIDENT;INCIDENTDESC;</t>
        </is>
      </c>
      <c r="J7" s="78" t="inlineStr">
        <is>
          <t>-</t>
        </is>
      </c>
    </row>
    <row r="8" ht="62" customHeight="1">
      <c r="A8" s="40" t="inlineStr">
        <is>
          <t>2026-09-30</t>
        </is>
      </c>
      <c r="B8" s="41" t="inlineStr">
        <is>
          <t>Wed</t>
        </is>
      </c>
      <c r="C8" s="41" t="inlineStr">
        <is>
          <t>10:00 - 14:00</t>
        </is>
      </c>
      <c r="D8" s="41" t="inlineStr">
        <is>
          <t>Code</t>
        </is>
      </c>
      <c r="E8" s="40" t="inlineStr">
        <is>
          <t>INCIDENTFC</t>
        </is>
      </c>
      <c r="F8" s="41" t="inlineStr">
        <is>
          <t>Validation: confirm the holdout window, that the champion was selected on held-out data, and that the baseline comparison is honest.</t>
        </is>
      </c>
      <c r="G8" s="41" t="inlineStr">
        <is>
          <t>The model's metrics are reproducible from a script.</t>
        </is>
      </c>
      <c r="H8" s="42" t="inlineStr">
        <is>
          <t>Not started</t>
        </is>
      </c>
      <c r="I8" s="70" t="inlineStr">
        <is>
          <t>;INCIDENTFC;</t>
        </is>
      </c>
      <c r="J8" s="78" t="inlineStr">
        <is>
          <t>-</t>
        </is>
      </c>
    </row>
    <row r="9" ht="62" customHeight="1">
      <c r="A9" s="40" t="inlineStr"/>
      <c r="B9" s="41" t="inlineStr"/>
      <c r="C9" s="41" t="inlineStr">
        <is>
          <t>14:00 - 20:30</t>
        </is>
      </c>
      <c r="D9" s="41" t="inlineStr">
        <is>
          <t>Code</t>
        </is>
      </c>
      <c r="E9" s="40" t="inlineStr">
        <is>
          <t>INCIDENTFC</t>
        </is>
      </c>
      <c r="F9" s="41" t="inlineStr">
        <is>
          <t>Close the remaining subtasks.</t>
        </is>
      </c>
      <c r="G9" s="41" t="inlineStr">
        <is>
          <t>INCIDENTFC approaching 100%.</t>
        </is>
      </c>
      <c r="H9" s="42" t="inlineStr">
        <is>
          <t>Not started</t>
        </is>
      </c>
      <c r="I9" s="70" t="inlineStr">
        <is>
          <t>;INCIDENTFC;</t>
        </is>
      </c>
      <c r="J9" s="78" t="inlineStr">
        <is>
          <t>-</t>
        </is>
      </c>
    </row>
    <row r="10" ht="62" customHeight="1">
      <c r="A10" s="40" t="inlineStr"/>
      <c r="B10" s="41" t="inlineStr"/>
      <c r="C10" s="41" t="inlineStr">
        <is>
          <t>20:30 - 22:30</t>
        </is>
      </c>
      <c r="D10" s="39" t="inlineStr">
        <is>
          <t>Manuscript</t>
        </is>
      </c>
      <c r="E10" s="40" t="inlineStr">
        <is>
          <t>MS-01 INCIDENT</t>
        </is>
      </c>
      <c r="F10" s="41" t="inlineStr">
        <is>
          <t>Document the incident API endpoints - routes, payloads, filters.</t>
        </is>
      </c>
      <c r="G10" s="41" t="inlineStr">
        <is>
          <t>Section complete.</t>
        </is>
      </c>
      <c r="H10" s="42" t="inlineStr">
        <is>
          <t>Not started</t>
        </is>
      </c>
      <c r="I10" s="70" t="inlineStr">
        <is>
          <t>;MOD-BE;</t>
        </is>
      </c>
      <c r="J10" s="79" t="inlineStr">
        <is>
          <t>;MS:INCIDENT;</t>
        </is>
      </c>
    </row>
    <row r="11" ht="62" customHeight="1">
      <c r="A11" s="27" t="inlineStr">
        <is>
          <t>2026-10-01</t>
        </is>
      </c>
      <c r="B11" s="9" t="inlineStr">
        <is>
          <t>Thu</t>
        </is>
      </c>
      <c r="C11" s="9" t="inlineStr">
        <is>
          <t>10:00 - 14:00</t>
        </is>
      </c>
      <c r="D11" s="9" t="inlineStr">
        <is>
          <t>Code</t>
        </is>
      </c>
      <c r="E11" s="27" t="inlineStr">
        <is>
          <t>INCIDENTFC</t>
        </is>
      </c>
      <c r="F11" s="9" t="inlineStr">
        <is>
          <t>Finish and sign off.</t>
        </is>
      </c>
      <c r="G11" s="9" t="inlineStr">
        <is>
          <t>INCIDENTFC at 100%.</t>
        </is>
      </c>
      <c r="H11" s="38" t="inlineStr">
        <is>
          <t>Not started</t>
        </is>
      </c>
      <c r="I11" s="70" t="inlineStr">
        <is>
          <t>;INCIDENTFC;</t>
        </is>
      </c>
      <c r="J11" s="78" t="inlineStr">
        <is>
          <t>-</t>
        </is>
      </c>
    </row>
    <row r="12" ht="62" customHeight="1">
      <c r="A12" s="27" t="inlineStr"/>
      <c r="B12" s="9" t="inlineStr"/>
      <c r="C12" s="9" t="inlineStr">
        <is>
          <t>14:00 - 19:30</t>
        </is>
      </c>
      <c r="D12" s="9" t="inlineStr">
        <is>
          <t>Code</t>
        </is>
      </c>
      <c r="E12" s="27" t="inlineStr">
        <is>
          <t>MAPCOMP</t>
        </is>
      </c>
      <c r="F12" s="9" t="inlineStr">
        <is>
          <t>Start the Map Comparison API remaining subtasks.</t>
        </is>
      </c>
      <c r="G12" s="9" t="inlineStr">
        <is>
          <t>Progress on MAPCOMP.</t>
        </is>
      </c>
      <c r="H12" s="38" t="inlineStr">
        <is>
          <t>Not started</t>
        </is>
      </c>
      <c r="I12" s="70" t="inlineStr">
        <is>
          <t>;MAPCOMP;</t>
        </is>
      </c>
      <c r="J12" s="78" t="inlineStr">
        <is>
          <t>-</t>
        </is>
      </c>
    </row>
    <row r="13" ht="62" customHeight="1">
      <c r="A13" s="27" t="inlineStr"/>
      <c r="B13" s="9" t="inlineStr"/>
      <c r="C13" s="9" t="inlineStr">
        <is>
          <t>19:30 - 22:30</t>
        </is>
      </c>
      <c r="D13" s="39" t="inlineStr">
        <is>
          <t>Manuscript</t>
        </is>
      </c>
      <c r="E13" s="27" t="inlineStr">
        <is>
          <t>MS-01 INCIDENTDESC</t>
        </is>
      </c>
      <c r="F13" s="9" t="inlineStr">
        <is>
          <t>Document the incident descriptive analytics - the cause split, the severity ladder, the response-time breakdown.</t>
        </is>
      </c>
      <c r="G13" s="9" t="inlineStr">
        <is>
          <t>Section complete.</t>
        </is>
      </c>
      <c r="H13" s="38" t="inlineStr">
        <is>
          <t>Not started</t>
        </is>
      </c>
      <c r="I13" s="70" t="inlineStr">
        <is>
          <t>;MOD-ANA;</t>
        </is>
      </c>
      <c r="J13" s="79" t="inlineStr">
        <is>
          <t>;MS:INCIDENTDESC;</t>
        </is>
      </c>
    </row>
    <row r="14" ht="62" customHeight="1">
      <c r="A14" s="40" t="inlineStr">
        <is>
          <t>2026-10-02</t>
        </is>
      </c>
      <c r="B14" s="41" t="inlineStr">
        <is>
          <t>Fri</t>
        </is>
      </c>
      <c r="C14" s="41" t="inlineStr">
        <is>
          <t>10:00 - 14:00</t>
        </is>
      </c>
      <c r="D14" s="41" t="inlineStr">
        <is>
          <t>Code</t>
        </is>
      </c>
      <c r="E14" s="40" t="inlineStr">
        <is>
          <t>MAPCOMP</t>
        </is>
      </c>
      <c r="F14" s="41" t="inlineStr">
        <is>
          <t>Close Map Comparison.</t>
        </is>
      </c>
      <c r="G14" s="41" t="inlineStr">
        <is>
          <t>MAPCOMP at 100%.</t>
        </is>
      </c>
      <c r="H14" s="42" t="inlineStr">
        <is>
          <t>Not started</t>
        </is>
      </c>
      <c r="I14" s="70" t="inlineStr">
        <is>
          <t>;MAPCOMP;</t>
        </is>
      </c>
      <c r="J14" s="78" t="inlineStr">
        <is>
          <t>-</t>
        </is>
      </c>
    </row>
    <row r="15" ht="62" customHeight="1">
      <c r="A15" s="40" t="inlineStr"/>
      <c r="B15" s="41" t="inlineStr"/>
      <c r="C15" s="41" t="inlineStr">
        <is>
          <t>14:00 - 19:30</t>
        </is>
      </c>
      <c r="D15" s="41" t="inlineStr">
        <is>
          <t>Code</t>
        </is>
      </c>
      <c r="E15" s="40" t="inlineStr">
        <is>
          <t>AUDIT</t>
        </is>
      </c>
      <c r="F15" s="41" t="inlineStr">
        <is>
          <t>Start the Audit Log API subtasks.</t>
        </is>
      </c>
      <c r="G15" s="41" t="inlineStr">
        <is>
          <t>Progress on AUDIT.</t>
        </is>
      </c>
      <c r="H15" s="42" t="inlineStr">
        <is>
          <t>Not started</t>
        </is>
      </c>
      <c r="I15" s="70" t="inlineStr">
        <is>
          <t>;AUDIT;</t>
        </is>
      </c>
      <c r="J15" s="78" t="inlineStr">
        <is>
          <t>-</t>
        </is>
      </c>
    </row>
    <row r="16" ht="62" customHeight="1">
      <c r="A16" s="40" t="inlineStr"/>
      <c r="B16" s="41" t="inlineStr"/>
      <c r="C16" s="41" t="inlineStr">
        <is>
          <t>19:30 - 22:30</t>
        </is>
      </c>
      <c r="D16" s="39" t="inlineStr">
        <is>
          <t>Manuscript</t>
        </is>
      </c>
      <c r="E16" s="40" t="inlineStr">
        <is>
          <t>MS-01 INCIDENTFC</t>
        </is>
      </c>
      <c r="F16" s="41" t="inlineStr">
        <is>
          <t>Document the incident prediction model: Poisson GLM champion, the walk-forward design, and the metrics.</t>
        </is>
      </c>
      <c r="G16" s="41" t="inlineStr">
        <is>
          <t>Section complete with real numbers.</t>
        </is>
      </c>
      <c r="H16" s="42" t="inlineStr">
        <is>
          <t>Not started</t>
        </is>
      </c>
      <c r="I16" s="70" t="inlineStr">
        <is>
          <t>;MOD-ANA;</t>
        </is>
      </c>
      <c r="J16" s="79" t="inlineStr">
        <is>
          <t>;MS:INCIDENTFC;</t>
        </is>
      </c>
    </row>
    <row r="17" ht="62" customHeight="1">
      <c r="A17" s="27" t="inlineStr">
        <is>
          <t>2026-10-03</t>
        </is>
      </c>
      <c r="B17" s="9" t="inlineStr">
        <is>
          <t>Sat</t>
        </is>
      </c>
      <c r="C17" s="9" t="inlineStr">
        <is>
          <t>10:00 - 14:00</t>
        </is>
      </c>
      <c r="D17" s="9" t="inlineStr">
        <is>
          <t>Code</t>
        </is>
      </c>
      <c r="E17" s="27" t="inlineStr">
        <is>
          <t>AUDIT</t>
        </is>
      </c>
      <c r="F17" s="9" t="inlineStr">
        <is>
          <t>Close the Audit Log API.</t>
        </is>
      </c>
      <c r="G17" s="9" t="inlineStr">
        <is>
          <t>AUDIT at 100%.</t>
        </is>
      </c>
      <c r="H17" s="38" t="inlineStr">
        <is>
          <t>Not started</t>
        </is>
      </c>
      <c r="I17" s="70" t="inlineStr">
        <is>
          <t>;AUDIT;</t>
        </is>
      </c>
      <c r="J17" s="78" t="inlineStr">
        <is>
          <t>-</t>
        </is>
      </c>
    </row>
    <row r="18" ht="72" customHeight="1">
      <c r="A18" s="27" t="inlineStr"/>
      <c r="B18" s="9" t="inlineStr"/>
      <c r="C18" s="9" t="inlineStr">
        <is>
          <t>14:00 - 18:30</t>
        </is>
      </c>
      <c r="D18" s="9" t="inlineStr">
        <is>
          <t>Code</t>
        </is>
      </c>
      <c r="E18" s="27" t="inlineStr">
        <is>
          <t>Ch4 figure decisions</t>
        </is>
      </c>
      <c r="F18" s="9" t="inlineStr">
        <is>
          <t>Same call for the prescriptive items: no LP toll-lane optimizer (4.1.24), no variable speed limit (4.1.25), no weather/surge alert panel (4.1.26), no TOPSIS ranking (4.1.28). The draft already notes these - decide keep / retitle / drop.</t>
        </is>
      </c>
      <c r="G18" s="9" t="inlineStr">
        <is>
          <t>Each figure is decided and the caption matches the build.</t>
        </is>
      </c>
      <c r="H18" s="38" t="inlineStr">
        <is>
          <t>Not started</t>
        </is>
      </c>
      <c r="I18" s="70" t="inlineStr">
        <is>
          <t>;MANUSCRIPT;</t>
        </is>
      </c>
      <c r="J18" s="79" t="inlineStr">
        <is>
          <t>;C09;</t>
        </is>
      </c>
    </row>
    <row r="19" ht="62" customHeight="1">
      <c r="A19" s="27" t="inlineStr"/>
      <c r="B19" s="9" t="inlineStr"/>
      <c r="C19" s="9" t="inlineStr">
        <is>
          <t>18:30 - 22:30</t>
        </is>
      </c>
      <c r="D19" s="39" t="inlineStr">
        <is>
          <t>Manuscript</t>
        </is>
      </c>
      <c r="E19" s="27" t="inlineStr">
        <is>
          <t>3.13 SQA Plans</t>
        </is>
      </c>
      <c r="F19" s="9" t="inlineStr">
        <is>
          <t>Revise 3.13 (p219). The plan claims a linting step that has never executed - ESLint could not run until Kiarra migrated the config today. Describe the QA process that actually happens.</t>
        </is>
      </c>
      <c r="G19" s="9" t="inlineStr">
        <is>
          <t>3.13 describes real practice, not intended practice.</t>
        </is>
      </c>
      <c r="H19" s="38" t="inlineStr">
        <is>
          <t>Not started</t>
        </is>
      </c>
      <c r="I19" s="70" t="inlineStr">
        <is>
          <t>;MANUSCRIPT;</t>
        </is>
      </c>
      <c r="J19" s="79" t="inlineStr">
        <is>
          <t>;R08;</t>
        </is>
      </c>
    </row>
    <row r="20">
      <c r="A20" s="43" t="inlineStr">
        <is>
          <t>GATE 21:00 - the 0% tasks demoable</t>
        </is>
      </c>
      <c r="B20" s="51" t="n"/>
      <c r="C20" s="51" t="n"/>
      <c r="D20" s="51" t="n"/>
      <c r="E20" s="51" t="n"/>
      <c r="F20" s="51" t="n"/>
      <c r="G20" s="51" t="n"/>
      <c r="H20" s="52" t="n"/>
    </row>
    <row r="21" ht="62" customHeight="1">
      <c r="A21" s="40" t="inlineStr">
        <is>
          <t>2026-10-04</t>
        </is>
      </c>
      <c r="B21" s="41" t="inlineStr">
        <is>
          <t>Sun</t>
        </is>
      </c>
      <c r="C21" s="41" t="inlineStr">
        <is>
          <t>10:00 - 14:00</t>
        </is>
      </c>
      <c r="D21" s="41" t="inlineStr">
        <is>
          <t>Code</t>
        </is>
      </c>
      <c r="E21" s="40" t="inlineStr">
        <is>
          <t>AGENT (scenarios)</t>
        </is>
      </c>
      <c r="F21" s="41" t="inlineStr">
        <is>
          <t>Your half of the agent simulation: the incident side. Walk every family in ai-sandbox/scenarios/catalogue.ts - breakdown in lane, breakdown on shoulder, minor collision, multi-vehicle, self accident, overturned vehicle, flood, roadworks, rain - and confirm each has a real duration distribution behind it rather than a guessed constant.</t>
        </is>
      </c>
      <c r="G21" s="41" t="inlineStr">
        <is>
          <t>Every family duration and lane-blocking rule traces to observed data, or is labelled in the UI as an assumption.</t>
        </is>
      </c>
      <c r="H21" s="42" t="inlineStr">
        <is>
          <t>Not started</t>
        </is>
      </c>
      <c r="I21" s="70" t="inlineStr">
        <is>
          <t>;AGENT-S;</t>
        </is>
      </c>
      <c r="J21" s="78" t="inlineStr">
        <is>
          <t>-</t>
        </is>
      </c>
    </row>
    <row r="22" ht="62" customHeight="1">
      <c r="A22" s="40" t="inlineStr"/>
      <c r="B22" s="41" t="inlineStr"/>
      <c r="C22" s="41" t="inlineStr">
        <is>
          <t>14:00 - 18:30</t>
        </is>
      </c>
      <c r="D22" s="41" t="inlineStr">
        <is>
          <t>Code</t>
        </is>
      </c>
      <c r="E22" s="40" t="inlineStr">
        <is>
          <t>AGENT (validation)</t>
        </is>
      </c>
      <c r="F22" s="41" t="inlineStr">
        <is>
          <t>Validate what the simulation does when an incident lands, against what actually happens on NLEX. Compare sim time-to-clear with the Cox PH clearance model and the observed incident log. Then QA the replication machinery: the intervals are Student t at 95% over N runs, so check N is large enough for the interval to mean anything.</t>
        </is>
      </c>
      <c r="G22" s="41" t="inlineStr">
        <is>
          <t>A short validation note states how sim clearance compares with observed, and the replication count is justified.</t>
        </is>
      </c>
      <c r="H22" s="42" t="inlineStr">
        <is>
          <t>Not started</t>
        </is>
      </c>
      <c r="I22" s="70" t="inlineStr">
        <is>
          <t>;AGENT-S;</t>
        </is>
      </c>
      <c r="J22" s="78" t="inlineStr">
        <is>
          <t>-</t>
        </is>
      </c>
    </row>
    <row r="23" ht="62" customHeight="1">
      <c r="A23" s="40" t="inlineStr"/>
      <c r="B23" s="41" t="inlineStr"/>
      <c r="C23" s="41" t="inlineStr">
        <is>
          <t>18:30 - 22:30</t>
        </is>
      </c>
      <c r="D23" s="39" t="inlineStr">
        <is>
          <t>Manuscript</t>
        </is>
      </c>
      <c r="E23" s="40" t="inlineStr">
        <is>
          <t>MS-01 AGENT</t>
        </is>
      </c>
      <c r="F23" s="41" t="inlineStr">
        <is>
          <t>Document the agent-based simulation with Hans: IDM and MOBIL, the calibration source, the scenario families, and - just as important - what the sandbox does NOT claim to predict.</t>
        </is>
      </c>
      <c r="G23" s="41" t="inlineStr">
        <is>
          <t>Section written, and honest about scope.</t>
        </is>
      </c>
      <c r="H23" s="42" t="inlineStr">
        <is>
          <t>Not started</t>
        </is>
      </c>
      <c r="I23" s="70" t="inlineStr">
        <is>
          <t>;MOD-ANA;</t>
        </is>
      </c>
      <c r="J23" s="79" t="inlineStr">
        <is>
          <t>;MS:AGENT;</t>
        </is>
      </c>
    </row>
    <row r="24" ht="62" customHeight="1">
      <c r="A24" s="27" t="inlineStr">
        <is>
          <t>2026-10-05</t>
        </is>
      </c>
      <c r="B24" s="9" t="inlineStr">
        <is>
          <t>Mon</t>
        </is>
      </c>
      <c r="C24" s="9" t="inlineStr">
        <is>
          <t>10:00 - 14:00</t>
        </is>
      </c>
      <c r="D24" s="9" t="inlineStr">
        <is>
          <t>Code</t>
        </is>
      </c>
      <c r="E24" s="27" t="inlineStr">
        <is>
          <t>QA</t>
        </is>
      </c>
      <c r="F24" s="9" t="inlineStr">
        <is>
          <t>Set up defect tracking - where defects are logged, severity definitions, who retests - then begin the regression pass on everything frozen so far.</t>
        </is>
      </c>
      <c r="G24" s="9" t="inlineStr">
        <is>
          <t>Defect log exists and half the test plan is executed.</t>
        </is>
      </c>
      <c r="H24" s="38" t="inlineStr">
        <is>
          <t>Not started</t>
        </is>
      </c>
      <c r="I24" s="71" t="inlineStr">
        <is>
          <t>(overhead)</t>
        </is>
      </c>
      <c r="J24" s="78" t="inlineStr">
        <is>
          <t>-</t>
        </is>
      </c>
    </row>
    <row r="25" ht="62" customHeight="1">
      <c r="A25" s="27" t="inlineStr"/>
      <c r="B25" s="9" t="inlineStr"/>
      <c r="C25" s="9" t="inlineStr">
        <is>
          <t>14:00 - 16:30</t>
        </is>
      </c>
      <c r="D25" s="9" t="inlineStr">
        <is>
          <t>Code</t>
        </is>
      </c>
      <c r="E25" s="27" t="inlineStr">
        <is>
          <t>QA</t>
        </is>
      </c>
      <c r="F25" s="9" t="inlineStr">
        <is>
          <t>Continue the regression pass across Traffic, Incidents, Emissions, Map Comparison and the Sandbox.</t>
        </is>
      </c>
      <c r="G25" s="9" t="inlineStr">
        <is>
          <t>Defects logged with severity and owner.</t>
        </is>
      </c>
      <c r="H25" s="38" t="inlineStr">
        <is>
          <t>Not started</t>
        </is>
      </c>
      <c r="I25" s="71" t="inlineStr">
        <is>
          <t>(overhead)</t>
        </is>
      </c>
      <c r="J25" s="78" t="inlineStr">
        <is>
          <t>-</t>
        </is>
      </c>
    </row>
    <row r="26" ht="62" customHeight="1">
      <c r="A26" s="27" t="inlineStr"/>
      <c r="B26" s="9" t="inlineStr"/>
      <c r="C26" s="9" t="inlineStr">
        <is>
          <t>16:30 - 22:30</t>
        </is>
      </c>
      <c r="D26" s="39" t="inlineStr">
        <is>
          <t>Manuscript</t>
        </is>
      </c>
      <c r="E26" s="27" t="inlineStr">
        <is>
          <t>MS-01 MAPCOMP + 2.3</t>
        </is>
      </c>
      <c r="F26" s="9" t="inlineStr">
        <is>
          <t>Document the map comparison API, then a light pass on 2.3 Synthesis (p114) - check nothing there leans on a figure that changed during development.</t>
        </is>
      </c>
      <c r="G26" s="9" t="inlineStr">
        <is>
          <t>Section written; synthesis consistent with the corrected numbers.</t>
        </is>
      </c>
      <c r="H26" s="38" t="inlineStr">
        <is>
          <t>Not started</t>
        </is>
      </c>
      <c r="I26" s="70" t="inlineStr">
        <is>
          <t>;MOD-BE;</t>
        </is>
      </c>
      <c r="J26" s="79" t="inlineStr">
        <is>
          <t>;R12;MS:MAPCOMP;</t>
        </is>
      </c>
    </row>
    <row r="27" ht="72" customHeight="1">
      <c r="A27" s="40" t="inlineStr">
        <is>
          <t>2026-10-06</t>
        </is>
      </c>
      <c r="B27" s="41" t="inlineStr">
        <is>
          <t>Tue</t>
        </is>
      </c>
      <c r="C27" s="41" t="inlineStr">
        <is>
          <t>10:00 - 14:00</t>
        </is>
      </c>
      <c r="D27" s="41" t="inlineStr">
        <is>
          <t>Code</t>
        </is>
      </c>
      <c r="E27" s="40" t="inlineStr">
        <is>
          <t>4.3 Testing</t>
        </is>
      </c>
      <c r="F27" s="41" t="inlineStr">
        <is>
          <t>Run the Unit, Stress and User-Acceptance scenarios from Section 3.13, and record the results as you go - this is the regression pass and the manuscript section in one. Note 6 of the draft says 4.3 is missing entirely.</t>
        </is>
      </c>
      <c r="G27" s="41" t="inlineStr">
        <is>
          <t>Every scenario in 3.13 has a run and a recorded result.</t>
        </is>
      </c>
      <c r="H27" s="42" t="inlineStr">
        <is>
          <t>Not started</t>
        </is>
      </c>
      <c r="I27" s="70" t="inlineStr">
        <is>
          <t>;MANUSCRIPT;</t>
        </is>
      </c>
      <c r="J27" s="79" t="inlineStr">
        <is>
          <t>;C11;</t>
        </is>
      </c>
    </row>
    <row r="28" ht="72" customHeight="1">
      <c r="A28" s="40" t="inlineStr"/>
      <c r="B28" s="41" t="inlineStr"/>
      <c r="C28" s="41" t="inlineStr">
        <is>
          <t>14:00 - 14:30</t>
        </is>
      </c>
      <c r="D28" s="41" t="inlineStr">
        <is>
          <t>Code</t>
        </is>
      </c>
      <c r="E28" s="40" t="inlineStr">
        <is>
          <t>4.3 Testing</t>
        </is>
      </c>
      <c r="F28" s="41" t="inlineStr">
        <is>
          <t>Continue, and start writing 4.3 from the results rather than from memory.</t>
        </is>
      </c>
      <c r="G28" s="41" t="inlineStr">
        <is>
          <t>4.3 drafted against real runs.</t>
        </is>
      </c>
      <c r="H28" s="42" t="inlineStr">
        <is>
          <t>Not started</t>
        </is>
      </c>
      <c r="I28" s="70" t="inlineStr">
        <is>
          <t>;MANUSCRIPT;</t>
        </is>
      </c>
      <c r="J28" s="79" t="inlineStr">
        <is>
          <t>;C11;</t>
        </is>
      </c>
    </row>
    <row r="29" ht="62" customHeight="1">
      <c r="A29" s="40" t="inlineStr"/>
      <c r="B29" s="41" t="inlineStr"/>
      <c r="C29" s="41" t="inlineStr">
        <is>
          <t>14:30 - 22:30</t>
        </is>
      </c>
      <c r="D29" s="39" t="inlineStr">
        <is>
          <t>Manuscript</t>
        </is>
      </c>
      <c r="E29" s="40" t="inlineStr">
        <is>
          <t>References</t>
        </is>
      </c>
      <c r="F29" s="41" t="inlineStr">
        <is>
          <t>Set up the citation style and check every reference resolves. This is the thing that eats Oct 8 if left.</t>
        </is>
      </c>
      <c r="G29" s="41" t="inlineStr">
        <is>
          <t>Reference list complete and consistently formatted.</t>
        </is>
      </c>
      <c r="H29" s="42" t="inlineStr">
        <is>
          <t>Not started</t>
        </is>
      </c>
      <c r="I29" s="70" t="inlineStr">
        <is>
          <t>;MANUSCRIPT;</t>
        </is>
      </c>
      <c r="J29" s="78" t="inlineStr">
        <is>
          <t>-</t>
        </is>
      </c>
    </row>
    <row r="30">
      <c r="A30" s="43" t="inlineStr">
        <is>
          <t>GATE 22:30 - SYSTEM 90%, CODE FREEZE</t>
        </is>
      </c>
      <c r="B30" s="51" t="n"/>
      <c r="C30" s="51" t="n"/>
      <c r="D30" s="51" t="n"/>
      <c r="E30" s="51" t="n"/>
      <c r="F30" s="51" t="n"/>
      <c r="G30" s="51" t="n"/>
      <c r="H30" s="52" t="n"/>
    </row>
    <row r="31" ht="72" customHeight="1">
      <c r="A31" s="27" t="inlineStr">
        <is>
          <t>2026-10-07</t>
        </is>
      </c>
      <c r="B31" s="9" t="inlineStr">
        <is>
          <t>Wed</t>
        </is>
      </c>
      <c r="C31" s="9" t="inlineStr">
        <is>
          <t>10:00 - 14:00</t>
        </is>
      </c>
      <c r="D31" s="9" t="inlineStr">
        <is>
          <t>Code</t>
        </is>
      </c>
      <c r="E31" s="27" t="inlineStr">
        <is>
          <t>4.4 Discussion</t>
        </is>
      </c>
      <c r="F31" s="9" t="inlineStr">
        <is>
          <t>Draft 4.4: interpret the results against the four specific objectives from Section 1.4.2. Say plainly where coverage is partial - a panel trusts a stated limitation more than a claim it can puncture.</t>
        </is>
      </c>
      <c r="G31" s="9" t="inlineStr">
        <is>
          <t>4.4 drafted, with each objective addressed and its gaps named.</t>
        </is>
      </c>
      <c r="H31" s="38" t="inlineStr">
        <is>
          <t>Not started</t>
        </is>
      </c>
      <c r="I31" s="70" t="inlineStr">
        <is>
          <t>;MANUSCRIPT;</t>
        </is>
      </c>
      <c r="J31" s="79" t="inlineStr">
        <is>
          <t>;C11;</t>
        </is>
      </c>
    </row>
    <row r="32" ht="72" customHeight="1">
      <c r="A32" s="27" t="inlineStr"/>
      <c r="B32" s="9" t="inlineStr"/>
      <c r="C32" s="9" t="inlineStr">
        <is>
          <t>14:00 - 12:30</t>
        </is>
      </c>
      <c r="D32" s="9" t="inlineStr">
        <is>
          <t>Code</t>
        </is>
      </c>
      <c r="E32" s="27" t="inlineStr">
        <is>
          <t>4.4 Discussion</t>
        </is>
      </c>
      <c r="F32" s="9" t="inlineStr">
        <is>
          <t>Finish 4.4 and retest anything the writing exposed - writing the discussion is usually where a gap in the evidence becomes obvious.</t>
        </is>
      </c>
      <c r="G32" s="9" t="inlineStr">
        <is>
          <t>4.4 complete.</t>
        </is>
      </c>
      <c r="H32" s="38" t="inlineStr">
        <is>
          <t>Not started</t>
        </is>
      </c>
      <c r="I32" s="70" t="inlineStr">
        <is>
          <t>;MANUSCRIPT;</t>
        </is>
      </c>
      <c r="J32" s="79" t="inlineStr">
        <is>
          <t>;C11;</t>
        </is>
      </c>
    </row>
    <row r="33" ht="62" customHeight="1">
      <c r="A33" s="27" t="inlineStr"/>
      <c r="B33" s="9" t="inlineStr"/>
      <c r="C33" s="9" t="inlineStr">
        <is>
          <t>12:30 - 22:30</t>
        </is>
      </c>
      <c r="D33" s="39" t="inlineStr">
        <is>
          <t>Manuscript</t>
        </is>
      </c>
      <c r="E33" s="27" t="inlineStr">
        <is>
          <t>Formatting</t>
        </is>
      </c>
      <c r="F33" s="9" t="inlineStr">
        <is>
          <t>Template compliance across the whole manuscript: margins, heading styles, caption numbering, table formats, pagination.</t>
        </is>
      </c>
      <c r="G33" s="9" t="inlineStr">
        <is>
          <t>The document matches the required template throughout.</t>
        </is>
      </c>
      <c r="H33" s="38" t="inlineStr">
        <is>
          <t>Not started</t>
        </is>
      </c>
      <c r="I33" s="70" t="inlineStr">
        <is>
          <t>;MANUSCRIPT;</t>
        </is>
      </c>
      <c r="J33" s="78" t="inlineStr">
        <is>
          <t>-</t>
        </is>
      </c>
    </row>
    <row r="34" ht="62" customHeight="1">
      <c r="A34" s="40" t="inlineStr">
        <is>
          <t>2026-10-08</t>
        </is>
      </c>
      <c r="B34" s="41" t="inlineStr">
        <is>
          <t>Thu</t>
        </is>
      </c>
      <c r="C34" s="41" t="inlineStr">
        <is>
          <t>10:00 - 14:00</t>
        </is>
      </c>
      <c r="D34" s="41" t="inlineStr">
        <is>
          <t>Code</t>
        </is>
      </c>
      <c r="E34" s="40" t="inlineStr">
        <is>
          <t>-</t>
        </is>
      </c>
      <c r="F34" s="41" t="inlineStr">
        <is>
          <t>No code today.</t>
        </is>
      </c>
      <c r="G34" s="41" t="inlineStr">
        <is>
          <t>-</t>
        </is>
      </c>
      <c r="H34" s="42" t="inlineStr">
        <is>
          <t>Not started</t>
        </is>
      </c>
      <c r="I34" s="71" t="inlineStr">
        <is>
          <t>(overhead)</t>
        </is>
      </c>
      <c r="J34" s="78" t="inlineStr">
        <is>
          <t>-</t>
        </is>
      </c>
    </row>
    <row r="35" ht="62" customHeight="1">
      <c r="A35" s="40" t="inlineStr"/>
      <c r="B35" s="41" t="inlineStr"/>
      <c r="C35" s="41" t="inlineStr">
        <is>
          <t>14:00 - 10:00</t>
        </is>
      </c>
      <c r="D35" s="41" t="inlineStr">
        <is>
          <t>Code</t>
        </is>
      </c>
      <c r="E35" s="40" t="inlineStr">
        <is>
          <t>-</t>
        </is>
      </c>
      <c r="F35" s="41" t="inlineStr">
        <is>
          <t>No code today.</t>
        </is>
      </c>
      <c r="G35" s="41" t="inlineStr">
        <is>
          <t>-</t>
        </is>
      </c>
      <c r="H35" s="42" t="inlineStr">
        <is>
          <t>Not started</t>
        </is>
      </c>
      <c r="I35" s="71" t="inlineStr">
        <is>
          <t>(overhead)</t>
        </is>
      </c>
      <c r="J35" s="78" t="inlineStr">
        <is>
          <t>-</t>
        </is>
      </c>
    </row>
    <row r="36" ht="62" customHeight="1">
      <c r="A36" s="40" t="inlineStr"/>
      <c r="B36" s="41" t="inlineStr"/>
      <c r="C36" s="41" t="inlineStr">
        <is>
          <t>10:00 - 22:30</t>
        </is>
      </c>
      <c r="D36" s="39" t="inlineStr">
        <is>
          <t>Manuscript</t>
        </is>
      </c>
      <c r="E36" s="40" t="inlineStr">
        <is>
          <t>Manuscript</t>
        </is>
      </c>
      <c r="F36" s="41" t="inlineStr">
        <is>
          <t>Final proofread and the appendices. You are the checker - this is your pass. Read for defensibility: does every claim have evidence behind it in the document.</t>
        </is>
      </c>
      <c r="G36" s="41" t="inlineStr">
        <is>
          <t>No unsupported claim survives, and the appendices are complete.</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37"/>
  <sheetViews>
    <sheetView workbookViewId="0">
      <pane ySplit="4" topLeftCell="A5" activePane="bottomLeft" state="frozen"/>
      <selection pane="bottomLeft" activeCell="A1" sqref="A1"/>
    </sheetView>
  </sheetViews>
  <sheetFormatPr baseColWidth="8" defaultRowHeight="15"/>
  <cols>
    <col width="11" customWidth="1" min="1" max="1"/>
    <col width="5" customWidth="1" min="2" max="2"/>
    <col width="14" customWidth="1" min="3" max="3"/>
    <col width="9" customWidth="1" min="4" max="4"/>
    <col width="15" customWidth="1" min="5" max="5"/>
    <col width="74" customWidth="1" min="6" max="6"/>
    <col width="52" customWidth="1" min="7" max="7"/>
    <col width="13" customWidth="1" min="8" max="8"/>
    <col width="15" customWidth="1" min="9" max="9"/>
    <col width="10" customWidth="1" min="10" max="10"/>
  </cols>
  <sheetData>
    <row r="1">
      <c r="A1" s="20" t="inlineStr">
        <is>
          <t>Ysa - daily plan</t>
        </is>
      </c>
    </row>
    <row r="2" ht="30" customHeight="1">
      <c r="A2" s="19" t="inlineStr">
        <is>
          <t>Three blocks a day. Code from 10:00; the manuscript takes the tail. Column F is what to do, column G is how you know it is finished. Ticking Status = Done credits the task named in Feeds - so the Tracker moves as you work. Blocks marked (overhead) carry no weight in the acceptance criteria.</t>
        </is>
      </c>
    </row>
    <row r="4" ht="24" customHeight="1">
      <c r="A4" s="5" t="inlineStr">
        <is>
          <t>Date</t>
        </is>
      </c>
      <c r="B4" s="5" t="inlineStr">
        <is>
          <t>Day</t>
        </is>
      </c>
      <c r="C4" s="5" t="inlineStr">
        <is>
          <t>Block</t>
        </is>
      </c>
      <c r="D4" s="5" t="inlineStr">
        <is>
          <t>Track</t>
        </is>
      </c>
      <c r="E4" s="5" t="inlineStr">
        <is>
          <t>Task</t>
        </is>
      </c>
      <c r="F4" s="5" t="inlineStr">
        <is>
          <t>What to do</t>
        </is>
      </c>
      <c r="G4" s="5" t="inlineStr">
        <is>
          <t>Done when</t>
        </is>
      </c>
      <c r="H4" s="5" t="inlineStr">
        <is>
          <t>Status</t>
        </is>
      </c>
      <c r="I4" s="5" t="inlineStr">
        <is>
          <t>Feeds</t>
        </is>
      </c>
      <c r="J4" s="5" t="inlineStr">
        <is>
          <t>Closes</t>
        </is>
      </c>
    </row>
    <row r="5" ht="74" customHeight="1">
      <c r="A5" s="27" t="inlineStr">
        <is>
          <t>2026-09-29</t>
        </is>
      </c>
      <c r="B5" s="9" t="inlineStr">
        <is>
          <t>Tue</t>
        </is>
      </c>
      <c r="C5" s="9" t="inlineStr">
        <is>
          <t>10:00 - 14:00</t>
        </is>
      </c>
      <c r="D5" s="9" t="inlineStr">
        <is>
          <t>Code</t>
        </is>
      </c>
      <c r="E5" s="27" t="inlineStr">
        <is>
          <t>LLM audit</t>
        </is>
      </c>
      <c r="F5" s="9" t="inlineStr">
        <is>
          <t>RAG is not greenfield - the LLM layer is already built. Read lib/glm.client.ts, services/ai-insight.service.ts, ai-explain.service.ts and sandbox-command.service.ts, then map each of RAG's six subtasks (BUS-01, DU-01, DP-01, MODEL-01, DEV-01, DEV-02) to what exists and what does not.</t>
        </is>
      </c>
      <c r="G5" s="9" t="inlineStr">
        <is>
          <t>A six-row table showing, per subtask, built / partly built / not built - ready for the team to decide scope.</t>
        </is>
      </c>
      <c r="H5" s="38" t="inlineStr">
        <is>
          <t>Not started</t>
        </is>
      </c>
      <c r="I5" s="70" t="inlineStr">
        <is>
          <t>;RAG;</t>
        </is>
      </c>
      <c r="J5" s="78" t="inlineStr">
        <is>
          <t>-</t>
        </is>
      </c>
    </row>
    <row r="6" ht="74" customHeight="1">
      <c r="A6" s="27" t="inlineStr"/>
      <c r="B6" s="9" t="inlineStr"/>
      <c r="C6" s="9" t="inlineStr">
        <is>
          <t>14:00 - 20:30</t>
        </is>
      </c>
      <c r="D6" s="9" t="inlineStr">
        <is>
          <t>Code</t>
        </is>
      </c>
      <c r="E6" s="27" t="inlineStr">
        <is>
          <t>LLM evidence</t>
        </is>
      </c>
      <c r="F6" s="9" t="inlineStr">
        <is>
          <t>Capture the evidence for what IS built: the sandbox Command prompt turning a sentence into actions, and an AI Explain briefing on a descriptive tab. Note that ai-explain retrieves from the warehouse server-side and grounds the prompt - that is retrieval-augmented generation over data, even though the criteria describe it over documents.</t>
        </is>
      </c>
      <c r="G6" s="9" t="inlineStr">
        <is>
          <t>Screenshots and a short note on how grounding is enforced, ready for the manuscript.</t>
        </is>
      </c>
      <c r="H6" s="38" t="inlineStr">
        <is>
          <t>Not started</t>
        </is>
      </c>
      <c r="I6" s="70" t="inlineStr">
        <is>
          <t>;RAG;</t>
        </is>
      </c>
      <c r="J6" s="78" t="inlineStr">
        <is>
          <t>-</t>
        </is>
      </c>
    </row>
    <row r="7" ht="74" customHeight="1">
      <c r="A7" s="27" t="inlineStr"/>
      <c r="B7" s="9" t="inlineStr"/>
      <c r="C7" s="9" t="inlineStr">
        <is>
          <t>20:30 - 22:30</t>
        </is>
      </c>
      <c r="D7" s="39" t="inlineStr">
        <is>
          <t>Manuscript</t>
        </is>
      </c>
      <c r="E7" s="27" t="inlineStr">
        <is>
          <t>MS-01 RAG</t>
        </is>
      </c>
      <c r="F7" s="9" t="inlineStr">
        <is>
          <t>Document the LLM integration: GLM via an OpenAI-compatible endpoint, the three services and what each grounds on, and the deviation from the criteria (Claude Sonnet / FastAPI / vector index specified; GLM / Express / warehouse retrieval delivered). Use the same convention as Figures 4.1.9, 4.1.24 and 4.1.28.</t>
        </is>
      </c>
      <c r="G7" s="9" t="inlineStr">
        <is>
          <t>Section written, with the deviation stated rather than glossed.</t>
        </is>
      </c>
      <c r="H7" s="38" t="inlineStr">
        <is>
          <t>Not started</t>
        </is>
      </c>
      <c r="I7" s="70" t="inlineStr">
        <is>
          <t>;MOD-ANA;</t>
        </is>
      </c>
      <c r="J7" s="79" t="inlineStr">
        <is>
          <t>;C03;MS:RAG;</t>
        </is>
      </c>
    </row>
    <row r="8" ht="74" customHeight="1">
      <c r="A8" s="40" t="inlineStr">
        <is>
          <t>2026-09-30</t>
        </is>
      </c>
      <c r="B8" s="41" t="inlineStr">
        <is>
          <t>Wed</t>
        </is>
      </c>
      <c r="C8" s="41" t="inlineStr">
        <is>
          <t>10:00 - 14:00</t>
        </is>
      </c>
      <c r="D8" s="41" t="inlineStr">
        <is>
          <t>Code</t>
        </is>
      </c>
      <c r="E8" s="40" t="inlineStr">
        <is>
          <t>SANDBOX</t>
        </is>
      </c>
      <c r="F8" s="41" t="inlineStr">
        <is>
          <t>Close the AI Traffic Sandbox API subtasks. Pulled forward two days now that RAG is not three days of building.</t>
        </is>
      </c>
      <c r="G8" s="41" t="inlineStr">
        <is>
          <t>SANDBOX at 100%.</t>
        </is>
      </c>
      <c r="H8" s="42" t="inlineStr">
        <is>
          <t>Not started</t>
        </is>
      </c>
      <c r="I8" s="70" t="inlineStr">
        <is>
          <t>;SANDBOX;</t>
        </is>
      </c>
      <c r="J8" s="78" t="inlineStr">
        <is>
          <t>-</t>
        </is>
      </c>
    </row>
    <row r="9" ht="74" customHeight="1">
      <c r="A9" s="40" t="inlineStr"/>
      <c r="B9" s="41" t="inlineStr"/>
      <c r="C9" s="41" t="inlineStr">
        <is>
          <t>14:00 - 20:30</t>
        </is>
      </c>
      <c r="D9" s="41" t="inlineStr">
        <is>
          <t>Code</t>
        </is>
      </c>
      <c r="E9" s="40" t="inlineStr">
        <is>
          <t>SANDBOX</t>
        </is>
      </c>
      <c r="F9" s="41" t="inlineStr">
        <is>
          <t>Test the sandbox end to end from the dashboard. Hand Hans and Jertz a working API to calibrate against - they start on the simulation model Oct 4.</t>
        </is>
      </c>
      <c r="G9" s="41" t="inlineStr">
        <is>
          <t>A scenario can be built, run and read from the UI, and the two model owners can drive it without you.</t>
        </is>
      </c>
      <c r="H9" s="42" t="inlineStr">
        <is>
          <t>Not started</t>
        </is>
      </c>
      <c r="I9" s="70" t="inlineStr">
        <is>
          <t>;SANDBOX;</t>
        </is>
      </c>
      <c r="J9" s="78" t="inlineStr">
        <is>
          <t>-</t>
        </is>
      </c>
    </row>
    <row r="10" ht="74" customHeight="1">
      <c r="A10" s="40" t="inlineStr"/>
      <c r="B10" s="41" t="inlineStr"/>
      <c r="C10" s="41" t="inlineStr">
        <is>
          <t>20:30 - 22:30</t>
        </is>
      </c>
      <c r="D10" s="39" t="inlineStr">
        <is>
          <t>Manuscript</t>
        </is>
      </c>
      <c r="E10" s="40" t="inlineStr">
        <is>
          <t>MS-01 SANDBOX</t>
        </is>
      </c>
      <c r="F10" s="41" t="inlineStr">
        <is>
          <t>Document the sandbox API. The simulation model itself is Hans and Jertz's section.</t>
        </is>
      </c>
      <c r="G10" s="41" t="inlineStr">
        <is>
          <t>Section complete.</t>
        </is>
      </c>
      <c r="H10" s="42" t="inlineStr">
        <is>
          <t>Not started</t>
        </is>
      </c>
      <c r="I10" s="70" t="inlineStr">
        <is>
          <t>;MOD-BE;</t>
        </is>
      </c>
      <c r="J10" s="79" t="inlineStr">
        <is>
          <t>;MS:SANDBOX;</t>
        </is>
      </c>
    </row>
    <row r="11" ht="74" customHeight="1">
      <c r="A11" s="27" t="inlineStr">
        <is>
          <t>2026-10-01</t>
        </is>
      </c>
      <c r="B11" s="9" t="inlineStr">
        <is>
          <t>Thu</t>
        </is>
      </c>
      <c r="C11" s="9" t="inlineStr">
        <is>
          <t>10:00 - 14:00</t>
        </is>
      </c>
      <c r="D11" s="9" t="inlineStr">
        <is>
          <t>Code</t>
        </is>
      </c>
      <c r="E11" s="27" t="inlineStr">
        <is>
          <t>REALTIME</t>
        </is>
      </c>
      <c r="F11" s="9" t="inlineStr">
        <is>
          <t>Close the Redis realtime and event streaming subtasks.</t>
        </is>
      </c>
      <c r="G11" s="9" t="inlineStr">
        <is>
          <t>REALTIME at 100%.</t>
        </is>
      </c>
      <c r="H11" s="38" t="inlineStr">
        <is>
          <t>Not started</t>
        </is>
      </c>
      <c r="I11" s="70" t="inlineStr">
        <is>
          <t>;REALTIME;</t>
        </is>
      </c>
      <c r="J11" s="78" t="inlineStr">
        <is>
          <t>-</t>
        </is>
      </c>
    </row>
    <row r="12" ht="74" customHeight="1">
      <c r="A12" s="27" t="inlineStr"/>
      <c r="B12" s="9" t="inlineStr"/>
      <c r="C12" s="9" t="inlineStr">
        <is>
          <t>14:00 - 19:30</t>
        </is>
      </c>
      <c r="D12" s="9" t="inlineStr">
        <is>
          <t>Code</t>
        </is>
      </c>
      <c r="E12" s="27" t="inlineStr">
        <is>
          <t>REALTIME</t>
        </is>
      </c>
      <c r="F12" s="9" t="inlineStr">
        <is>
          <t>Test the streaming path end to end, including what the dashboard does when Redis is unavailable.</t>
        </is>
      </c>
      <c r="G12" s="9" t="inlineStr">
        <is>
          <t>REALTIME at 100% and the failure mode is documented.</t>
        </is>
      </c>
      <c r="H12" s="38" t="inlineStr">
        <is>
          <t>Not started</t>
        </is>
      </c>
      <c r="I12" s="70" t="inlineStr">
        <is>
          <t>;REALTIME;</t>
        </is>
      </c>
      <c r="J12" s="78" t="inlineStr">
        <is>
          <t>-</t>
        </is>
      </c>
    </row>
    <row r="13" ht="74" customHeight="1">
      <c r="A13" s="27" t="inlineStr"/>
      <c r="B13" s="9" t="inlineStr"/>
      <c r="C13" s="9" t="inlineStr">
        <is>
          <t>19:30 - 22:30</t>
        </is>
      </c>
      <c r="D13" s="39" t="inlineStr">
        <is>
          <t>Manuscript</t>
        </is>
      </c>
      <c r="E13" s="27" t="inlineStr">
        <is>
          <t>MS-01 REALTIME</t>
        </is>
      </c>
      <c r="F13" s="9" t="inlineStr">
        <is>
          <t>Document the real-time architecture - what streams, through what, and what happens when Redis is down.</t>
        </is>
      </c>
      <c r="G13" s="9" t="inlineStr">
        <is>
          <t>Section complete.</t>
        </is>
      </c>
      <c r="H13" s="38" t="inlineStr">
        <is>
          <t>Not started</t>
        </is>
      </c>
      <c r="I13" s="70" t="inlineStr">
        <is>
          <t>;MOD-BE;</t>
        </is>
      </c>
      <c r="J13" s="79" t="inlineStr">
        <is>
          <t>;MS:REALTIME;</t>
        </is>
      </c>
    </row>
    <row r="14" ht="74" customHeight="1">
      <c r="A14" s="40" t="inlineStr">
        <is>
          <t>2026-10-02</t>
        </is>
      </c>
      <c r="B14" s="41" t="inlineStr">
        <is>
          <t>Fri</t>
        </is>
      </c>
      <c r="C14" s="41" t="inlineStr">
        <is>
          <t>10:00 - 14:00</t>
        </is>
      </c>
      <c r="D14" s="41" t="inlineStr">
        <is>
          <t>Code</t>
        </is>
      </c>
      <c r="E14" s="40" t="inlineStr">
        <is>
          <t>UPLOAD</t>
        </is>
      </c>
      <c r="F14" s="41" t="inlineStr">
        <is>
          <t>Close the Data Upload and Validation API subtasks.</t>
        </is>
      </c>
      <c r="G14" s="41" t="inlineStr">
        <is>
          <t>UPLOAD at 100%.</t>
        </is>
      </c>
      <c r="H14" s="42" t="inlineStr">
        <is>
          <t>Not started</t>
        </is>
      </c>
      <c r="I14" s="70" t="inlineStr">
        <is>
          <t>;UPLOAD;</t>
        </is>
      </c>
      <c r="J14" s="78" t="inlineStr">
        <is>
          <t>-</t>
        </is>
      </c>
    </row>
    <row r="15" ht="74" customHeight="1">
      <c r="A15" s="40" t="inlineStr"/>
      <c r="B15" s="41" t="inlineStr"/>
      <c r="C15" s="41" t="inlineStr">
        <is>
          <t>14:00 - 19:30</t>
        </is>
      </c>
      <c r="D15" s="41" t="inlineStr">
        <is>
          <t>Code</t>
        </is>
      </c>
      <c r="E15" s="40" t="inlineStr">
        <is>
          <t>UPLOAD</t>
        </is>
      </c>
      <c r="F15" s="41" t="inlineStr">
        <is>
          <t>Test upload validation with four files: a good one, a malformed one, one with the wrong columns, and an empty one.</t>
        </is>
      </c>
      <c r="G15" s="41" t="inlineStr">
        <is>
          <t>All four behave, and none corrupts the warehouse.</t>
        </is>
      </c>
      <c r="H15" s="42" t="inlineStr">
        <is>
          <t>Not started</t>
        </is>
      </c>
      <c r="I15" s="70" t="inlineStr">
        <is>
          <t>;UPLOAD;</t>
        </is>
      </c>
      <c r="J15" s="78" t="inlineStr">
        <is>
          <t>-</t>
        </is>
      </c>
    </row>
    <row r="16" ht="74" customHeight="1">
      <c r="A16" s="40" t="inlineStr"/>
      <c r="B16" s="41" t="inlineStr"/>
      <c r="C16" s="41" t="inlineStr">
        <is>
          <t>19:30 - 22:30</t>
        </is>
      </c>
      <c r="D16" s="39" t="inlineStr">
        <is>
          <t>Manuscript</t>
        </is>
      </c>
      <c r="E16" s="40" t="inlineStr">
        <is>
          <t>MS-01 UPLOAD</t>
        </is>
      </c>
      <c r="F16" s="41" t="inlineStr">
        <is>
          <t>Document the upload API and its validation rules.</t>
        </is>
      </c>
      <c r="G16" s="41" t="inlineStr">
        <is>
          <t>Section complete.</t>
        </is>
      </c>
      <c r="H16" s="42" t="inlineStr">
        <is>
          <t>Not started</t>
        </is>
      </c>
      <c r="I16" s="70" t="inlineStr">
        <is>
          <t>;MOD-BE;</t>
        </is>
      </c>
      <c r="J16" s="79" t="inlineStr">
        <is>
          <t>;MS:UPLOAD;</t>
        </is>
      </c>
    </row>
    <row r="17" ht="74" customHeight="1">
      <c r="A17" s="27" t="inlineStr">
        <is>
          <t>2026-10-03</t>
        </is>
      </c>
      <c r="B17" s="9" t="inlineStr">
        <is>
          <t>Sat</t>
        </is>
      </c>
      <c r="C17" s="9" t="inlineStr">
        <is>
          <t>10:00 - 14:00</t>
        </is>
      </c>
      <c r="D17" s="9" t="inlineStr">
        <is>
          <t>Code</t>
        </is>
      </c>
      <c r="E17" s="27" t="inlineStr">
        <is>
          <t>LLM sign-off</t>
        </is>
      </c>
      <c r="F17" s="9" t="inlineStr">
        <is>
          <t>RAG is descoped - the LLM layer replaces it. Get that confirmed in writing by the adviser, because RAG carries 2.517% in the acceptance file and the substitution has to be accepted, not assumed. Then update the acceptance file yourselves: mark RAG as delivered-by-other-means rather than leaving it at 0.000%.</t>
        </is>
      </c>
      <c r="G17" s="9" t="inlineStr">
        <is>
          <t>A written reply from the adviser, and the acceptance file no longer shows RAG as simply not started.</t>
        </is>
      </c>
      <c r="H17" s="38" t="inlineStr">
        <is>
          <t>Not started</t>
        </is>
      </c>
      <c r="I17" s="70" t="inlineStr">
        <is>
          <t>;RAG;</t>
        </is>
      </c>
      <c r="J17" s="78" t="inlineStr">
        <is>
          <t>-</t>
        </is>
      </c>
    </row>
    <row r="18" ht="70" customHeight="1">
      <c r="A18" s="27" t="inlineStr"/>
      <c r="B18" s="9" t="inlineStr"/>
      <c r="C18" s="9" t="inlineStr">
        <is>
          <t>14:00 - 18:30</t>
        </is>
      </c>
      <c r="D18" s="9" t="inlineStr">
        <is>
          <t>Code</t>
        </is>
      </c>
      <c r="E18" s="27" t="inlineStr">
        <is>
          <t>SANDBOX handover</t>
        </is>
      </c>
      <c r="F18" s="9" t="inlineStr">
        <is>
          <t>Hans and Jertz start on the simulation model tomorrow and will drive it through your API. Walk them through it, and fix anything that blocks them running a scenario without you.</t>
        </is>
      </c>
      <c r="G18" s="9" t="inlineStr">
        <is>
          <t>Both can run and read a scenario unaided.</t>
        </is>
      </c>
      <c r="H18" s="38" t="inlineStr">
        <is>
          <t>Not started</t>
        </is>
      </c>
      <c r="I18" s="70" t="inlineStr">
        <is>
          <t>;SANDBOX;</t>
        </is>
      </c>
      <c r="J18" s="78" t="inlineStr">
        <is>
          <t>-</t>
        </is>
      </c>
    </row>
    <row r="19" ht="70" customHeight="1">
      <c r="A19" s="27" t="inlineStr"/>
      <c r="B19" s="9" t="inlineStr"/>
      <c r="C19" s="9" t="inlineStr">
        <is>
          <t>18:30 - 22:30</t>
        </is>
      </c>
      <c r="D19" s="39" t="inlineStr">
        <is>
          <t>Manuscript</t>
        </is>
      </c>
      <c r="E19" s="27" t="inlineStr">
        <is>
          <t>Figures</t>
        </is>
      </c>
      <c r="F19" s="9" t="inlineStr">
        <is>
          <t>Start the Chapter 4 screenshots for your surfaces: sandbox UI, the Command prompt turning a sentence into actions, upload page, realtime panels. Light theme, full resolution, no dev overlay.</t>
        </is>
      </c>
      <c r="G19" s="9" t="inlineStr">
        <is>
          <t>Half your figures captured and named.</t>
        </is>
      </c>
      <c r="H19" s="38" t="inlineStr">
        <is>
          <t>Not started</t>
        </is>
      </c>
      <c r="I19" s="71" t="inlineStr">
        <is>
          <t>(overhead)</t>
        </is>
      </c>
      <c r="J19" s="78" t="inlineStr">
        <is>
          <t>-</t>
        </is>
      </c>
    </row>
    <row r="20">
      <c r="A20" s="43" t="inlineStr">
        <is>
          <t>GATE 21:00 - the 0% tasks demoable</t>
        </is>
      </c>
      <c r="B20" s="51" t="n"/>
      <c r="C20" s="51" t="n"/>
      <c r="D20" s="51" t="n"/>
      <c r="E20" s="51" t="n"/>
      <c r="F20" s="51" t="n"/>
      <c r="G20" s="51" t="n"/>
      <c r="H20" s="52" t="n"/>
    </row>
    <row r="21" ht="70" customHeight="1">
      <c r="A21" s="40" t="inlineStr">
        <is>
          <t>2026-10-04</t>
        </is>
      </c>
      <c r="B21" s="41" t="inlineStr">
        <is>
          <t>Sun</t>
        </is>
      </c>
      <c r="C21" s="41" t="inlineStr">
        <is>
          <t>10:00 - 14:00</t>
        </is>
      </c>
      <c r="D21" s="41" t="inlineStr">
        <is>
          <t>Code</t>
        </is>
      </c>
      <c r="E21" s="40" t="inlineStr">
        <is>
          <t>Mobile</t>
        </is>
      </c>
      <c r="F21" s="41" t="inlineStr">
        <is>
          <t>Mobile parity check against /api/mobile-config. The mobile app is a separate repo (SmartFlow-NLEX/Main-Mobile) - confirm it still runs against the current backend and shows current data.</t>
        </is>
      </c>
      <c r="G21" s="41" t="inlineStr">
        <is>
          <t>The mobile app loads live data from the deployed backend.</t>
        </is>
      </c>
      <c r="H21" s="42" t="inlineStr">
        <is>
          <t>Not started</t>
        </is>
      </c>
      <c r="I21" s="71" t="inlineStr">
        <is>
          <t>(overhead)</t>
        </is>
      </c>
      <c r="J21" s="78" t="inlineStr">
        <is>
          <t>-</t>
        </is>
      </c>
    </row>
    <row r="22" ht="70" customHeight="1">
      <c r="A22" s="40" t="inlineStr"/>
      <c r="B22" s="41" t="inlineStr"/>
      <c r="C22" s="41" t="inlineStr">
        <is>
          <t>14:00 - 18:30</t>
        </is>
      </c>
      <c r="D22" s="41" t="inlineStr">
        <is>
          <t>Code</t>
        </is>
      </c>
      <c r="E22" s="40" t="inlineStr">
        <is>
          <t>MOD-FE support</t>
        </is>
      </c>
      <c r="F22" s="41" t="inlineStr">
        <is>
          <t>Take UI work off Kiarra. She owns CORE (production build, ESLint, deployment) plus the whole MOD-FE polish list; you are the other UI/UX pair of hands and she is the bottleneck on two fronts.</t>
        </is>
      </c>
      <c r="G22" s="41" t="inlineStr">
        <is>
          <t>Kiarra's snag list is shorter and she is free to work CORE.</t>
        </is>
      </c>
      <c r="H22" s="42" t="inlineStr">
        <is>
          <t>Not started</t>
        </is>
      </c>
      <c r="I22" s="71" t="inlineStr">
        <is>
          <t>(overhead)</t>
        </is>
      </c>
      <c r="J22" s="78" t="inlineStr">
        <is>
          <t>-</t>
        </is>
      </c>
    </row>
    <row r="23" ht="70" customHeight="1">
      <c r="A23" s="40" t="inlineStr"/>
      <c r="B23" s="41" t="inlineStr"/>
      <c r="C23" s="41" t="inlineStr">
        <is>
          <t>18:30 - 22:30</t>
        </is>
      </c>
      <c r="D23" s="39" t="inlineStr">
        <is>
          <t>Manuscript</t>
        </is>
      </c>
      <c r="E23" s="40" t="inlineStr">
        <is>
          <t>Figures</t>
        </is>
      </c>
      <c r="F23" s="41" t="inlineStr">
        <is>
          <t>Finish your figures and hand them to Kiarra for placement.</t>
        </is>
      </c>
      <c r="G23" s="41" t="inlineStr">
        <is>
          <t>All figures delivered.</t>
        </is>
      </c>
      <c r="H23" s="42" t="inlineStr">
        <is>
          <t>Not started</t>
        </is>
      </c>
      <c r="I23" s="71" t="inlineStr">
        <is>
          <t>(overhead)</t>
        </is>
      </c>
      <c r="J23" s="78" t="inlineStr">
        <is>
          <t>-</t>
        </is>
      </c>
    </row>
    <row r="24" ht="70" customHeight="1">
      <c r="A24" s="27" t="inlineStr">
        <is>
          <t>2026-10-05</t>
        </is>
      </c>
      <c r="B24" s="9" t="inlineStr">
        <is>
          <t>Mon</t>
        </is>
      </c>
      <c r="C24" s="9" t="inlineStr">
        <is>
          <t>10:00 - 14:00</t>
        </is>
      </c>
      <c r="D24" s="9" t="inlineStr">
        <is>
          <t>Code</t>
        </is>
      </c>
      <c r="E24" s="27" t="inlineStr">
        <is>
          <t>Slack</t>
        </is>
      </c>
      <c r="F24" s="9" t="inlineStr">
        <is>
          <t>Deliberate slack, two days ahead of the original plan. Spend it wherever the Oct 3 gate slipped - most likely Jertz on INCIDENTFC or Hans on PRESCRIBE, the two biggest zeros. If nothing slipped, take more of Kiarra's MOD-FE list.</t>
        </is>
      </c>
      <c r="G24" s="9" t="inlineStr">
        <is>
          <t>The team's worst-off task moved, or Kiarra's list is empty.</t>
        </is>
      </c>
      <c r="H24" s="38" t="inlineStr">
        <is>
          <t>Not started</t>
        </is>
      </c>
      <c r="I24" s="71" t="inlineStr">
        <is>
          <t>(overhead)</t>
        </is>
      </c>
      <c r="J24" s="78" t="inlineStr">
        <is>
          <t>-</t>
        </is>
      </c>
    </row>
    <row r="25" ht="70" customHeight="1">
      <c r="A25" s="27" t="inlineStr"/>
      <c r="B25" s="9" t="inlineStr"/>
      <c r="C25" s="9" t="inlineStr">
        <is>
          <t>14:00 - 16:30</t>
        </is>
      </c>
      <c r="D25" s="9" t="inlineStr">
        <is>
          <t>Code</t>
        </is>
      </c>
      <c r="E25" s="27" t="inlineStr">
        <is>
          <t>MOD-FE support</t>
        </is>
      </c>
      <c r="F25" s="9" t="inlineStr">
        <is>
          <t>Continue with Kiarra.</t>
        </is>
      </c>
      <c r="G25" s="9" t="inlineStr">
        <is>
          <t>MOD-FE closer to done.</t>
        </is>
      </c>
      <c r="H25" s="38" t="inlineStr">
        <is>
          <t>Not started</t>
        </is>
      </c>
      <c r="I25" s="71" t="inlineStr">
        <is>
          <t>(overhead)</t>
        </is>
      </c>
      <c r="J25" s="78" t="inlineStr">
        <is>
          <t>-</t>
        </is>
      </c>
    </row>
    <row r="26" ht="70" customHeight="1">
      <c r="A26" s="27" t="inlineStr"/>
      <c r="B26" s="9" t="inlineStr"/>
      <c r="C26" s="9" t="inlineStr">
        <is>
          <t>16:30 - 22:30</t>
        </is>
      </c>
      <c r="D26" s="39" t="inlineStr">
        <is>
          <t>Manuscript</t>
        </is>
      </c>
      <c r="E26" s="27" t="inlineStr">
        <is>
          <t>Figures</t>
        </is>
      </c>
      <c r="F26" s="9" t="inlineStr">
        <is>
          <t>Any remaining captures, including anything Hans or Jertz need for their sections.</t>
        </is>
      </c>
      <c r="G26" s="9" t="inlineStr">
        <is>
          <t>No figure outstanding from your surfaces.</t>
        </is>
      </c>
      <c r="H26" s="38" t="inlineStr">
        <is>
          <t>Not started</t>
        </is>
      </c>
      <c r="I26" s="71" t="inlineStr">
        <is>
          <t>(overhead)</t>
        </is>
      </c>
      <c r="J26" s="78" t="inlineStr">
        <is>
          <t>-</t>
        </is>
      </c>
    </row>
    <row r="27" ht="62" customHeight="1">
      <c r="A27" s="40" t="inlineStr">
        <is>
          <t>2026-10-06</t>
        </is>
      </c>
      <c r="B27" s="41" t="inlineStr">
        <is>
          <t>Tue</t>
        </is>
      </c>
      <c r="C27" s="41" t="inlineStr">
        <is>
          <t>10:00 - 14:00</t>
        </is>
      </c>
      <c r="D27" s="41" t="inlineStr">
        <is>
          <t>Code</t>
        </is>
      </c>
      <c r="E27" s="40" t="inlineStr">
        <is>
          <t>Close out</t>
        </is>
      </c>
      <c r="F27" s="41" t="inlineStr">
        <is>
          <t>Close every remaining subtask you own. Last day for code.</t>
        </is>
      </c>
      <c r="G27" s="41" t="inlineStr">
        <is>
          <t>All your tasks at 100%.</t>
        </is>
      </c>
      <c r="H27" s="42" t="inlineStr">
        <is>
          <t>Not started</t>
        </is>
      </c>
      <c r="I27" s="71" t="inlineStr">
        <is>
          <t>(overhead)</t>
        </is>
      </c>
      <c r="J27" s="78" t="inlineStr">
        <is>
          <t>-</t>
        </is>
      </c>
    </row>
    <row r="28" ht="62" customHeight="1">
      <c r="A28" s="40" t="inlineStr"/>
      <c r="B28" s="41" t="inlineStr"/>
      <c r="C28" s="41" t="inlineStr">
        <is>
          <t>14:00 - 14:30</t>
        </is>
      </c>
      <c r="D28" s="41" t="inlineStr">
        <is>
          <t>Code</t>
        </is>
      </c>
      <c r="E28" s="40" t="inlineStr">
        <is>
          <t>FREEZE</t>
        </is>
      </c>
      <c r="F28" s="41" t="inlineStr">
        <is>
          <t>Freeze with the team.</t>
        </is>
      </c>
      <c r="G28" s="41" t="inlineStr">
        <is>
          <t>Nothing of yours merges after 22:30.</t>
        </is>
      </c>
      <c r="H28" s="42" t="inlineStr">
        <is>
          <t>Not started</t>
        </is>
      </c>
      <c r="I28" s="71" t="inlineStr">
        <is>
          <t>(overhead)</t>
        </is>
      </c>
      <c r="J28" s="78" t="inlineStr">
        <is>
          <t>-</t>
        </is>
      </c>
    </row>
    <row r="29" ht="70" customHeight="1">
      <c r="A29" s="40" t="inlineStr"/>
      <c r="B29" s="41" t="inlineStr"/>
      <c r="C29" s="41" t="inlineStr">
        <is>
          <t>14:30 - 22:30</t>
        </is>
      </c>
      <c r="D29" s="39" t="inlineStr">
        <is>
          <t>Manuscript</t>
        </is>
      </c>
      <c r="E29" s="40" t="inlineStr">
        <is>
          <t>Ch4 reconciliation</t>
        </is>
      </c>
      <c r="F29" s="41" t="inlineStr">
        <is>
          <t>Recapture the figures that no longer match the build, working from the Chapter 4 block on the Manuscript Revisions sheet. Hand each to the owner named there.</t>
        </is>
      </c>
      <c r="G29" s="41" t="inlineStr">
        <is>
          <t>Every figure marked Critical or High has a current capture.</t>
        </is>
      </c>
      <c r="H29" s="42" t="inlineStr">
        <is>
          <t>Not started</t>
        </is>
      </c>
      <c r="I29" s="70" t="inlineStr">
        <is>
          <t>;MANUSCRIPT;</t>
        </is>
      </c>
      <c r="J29" s="79" t="inlineStr">
        <is>
          <t>;C01;</t>
        </is>
      </c>
    </row>
    <row r="30">
      <c r="A30" s="43" t="inlineStr">
        <is>
          <t>GATE 22:30 - SYSTEM 90%, CODE FREEZE</t>
        </is>
      </c>
      <c r="B30" s="51" t="n"/>
      <c r="C30" s="51" t="n"/>
      <c r="D30" s="51" t="n"/>
      <c r="E30" s="51" t="n"/>
      <c r="F30" s="51" t="n"/>
      <c r="G30" s="51" t="n"/>
      <c r="H30" s="52" t="n"/>
    </row>
    <row r="31" ht="62" customHeight="1">
      <c r="A31" s="27" t="inlineStr">
        <is>
          <t>2026-10-07</t>
        </is>
      </c>
      <c r="B31" s="9" t="inlineStr">
        <is>
          <t>Wed</t>
        </is>
      </c>
      <c r="C31" s="9" t="inlineStr">
        <is>
          <t>10:00 - 14:00</t>
        </is>
      </c>
      <c r="D31" s="9" t="inlineStr">
        <is>
          <t>Code</t>
        </is>
      </c>
      <c r="E31" s="27" t="inlineStr">
        <is>
          <t>FIX</t>
        </is>
      </c>
      <c r="F31" s="9" t="inlineStr">
        <is>
          <t>Defects from Jertz on your surfaces.</t>
        </is>
      </c>
      <c r="G31" s="9" t="inlineStr">
        <is>
          <t>Your defect list is empty.</t>
        </is>
      </c>
      <c r="H31" s="38" t="inlineStr">
        <is>
          <t>Not started</t>
        </is>
      </c>
      <c r="I31" s="71" t="inlineStr">
        <is>
          <t>(overhead)</t>
        </is>
      </c>
      <c r="J31" s="78" t="inlineStr">
        <is>
          <t>-</t>
        </is>
      </c>
    </row>
    <row r="32" ht="62" customHeight="1">
      <c r="A32" s="27" t="inlineStr"/>
      <c r="B32" s="9" t="inlineStr"/>
      <c r="C32" s="9" t="inlineStr">
        <is>
          <t>14:00 - 12:30</t>
        </is>
      </c>
      <c r="D32" s="9" t="inlineStr">
        <is>
          <t>Code</t>
        </is>
      </c>
      <c r="E32" s="27" t="inlineStr">
        <is>
          <t>FIX</t>
        </is>
      </c>
      <c r="F32" s="9" t="inlineStr">
        <is>
          <t>Continue.</t>
        </is>
      </c>
      <c r="G32" s="9" t="inlineStr">
        <is>
          <t>Queue empty.</t>
        </is>
      </c>
      <c r="H32" s="38" t="inlineStr">
        <is>
          <t>Not started</t>
        </is>
      </c>
      <c r="I32" s="71" t="inlineStr">
        <is>
          <t>(overhead)</t>
        </is>
      </c>
      <c r="J32" s="78" t="inlineStr">
        <is>
          <t>-</t>
        </is>
      </c>
    </row>
    <row r="33" ht="70" customHeight="1">
      <c r="A33" s="27" t="inlineStr"/>
      <c r="B33" s="9" t="inlineStr"/>
      <c r="C33" s="9" t="inlineStr">
        <is>
          <t>12:30 - 22:30</t>
        </is>
      </c>
      <c r="D33" s="39" t="inlineStr">
        <is>
          <t>Manuscript</t>
        </is>
      </c>
      <c r="E33" s="27" t="inlineStr">
        <is>
          <t>Ch4 reconciliation</t>
        </is>
      </c>
      <c r="F33" s="9" t="inlineStr">
        <is>
          <t>Finish the recaptures and place them with their captions.</t>
        </is>
      </c>
      <c r="G33" s="9" t="inlineStr">
        <is>
          <t>No figure in Chapter 4 predates the code freeze.</t>
        </is>
      </c>
      <c r="H33" s="38" t="inlineStr">
        <is>
          <t>Not started</t>
        </is>
      </c>
      <c r="I33" s="70" t="inlineStr">
        <is>
          <t>;MANUSCRIPT;</t>
        </is>
      </c>
      <c r="J33" s="79" t="inlineStr">
        <is>
          <t>;C02;</t>
        </is>
      </c>
    </row>
    <row r="34" ht="62" customHeight="1">
      <c r="A34" s="40" t="inlineStr">
        <is>
          <t>2026-10-08</t>
        </is>
      </c>
      <c r="B34" s="41" t="inlineStr">
        <is>
          <t>Thu</t>
        </is>
      </c>
      <c r="C34" s="41" t="inlineStr">
        <is>
          <t>10:00 - 14:00</t>
        </is>
      </c>
      <c r="D34" s="41" t="inlineStr">
        <is>
          <t>Code</t>
        </is>
      </c>
      <c r="E34" s="40" t="inlineStr">
        <is>
          <t>-</t>
        </is>
      </c>
      <c r="F34" s="41" t="inlineStr">
        <is>
          <t>No code today.</t>
        </is>
      </c>
      <c r="G34" s="41" t="inlineStr">
        <is>
          <t>-</t>
        </is>
      </c>
      <c r="H34" s="42" t="inlineStr">
        <is>
          <t>Not started</t>
        </is>
      </c>
      <c r="I34" s="71" t="inlineStr">
        <is>
          <t>(overhead)</t>
        </is>
      </c>
      <c r="J34" s="78" t="inlineStr">
        <is>
          <t>-</t>
        </is>
      </c>
    </row>
    <row r="35" ht="62" customHeight="1">
      <c r="A35" s="40" t="inlineStr"/>
      <c r="B35" s="41" t="inlineStr"/>
      <c r="C35" s="41" t="inlineStr">
        <is>
          <t>14:00 - 10:00</t>
        </is>
      </c>
      <c r="D35" s="41" t="inlineStr">
        <is>
          <t>Code</t>
        </is>
      </c>
      <c r="E35" s="40" t="inlineStr">
        <is>
          <t>-</t>
        </is>
      </c>
      <c r="F35" s="41" t="inlineStr">
        <is>
          <t>No code today.</t>
        </is>
      </c>
      <c r="G35" s="41" t="inlineStr">
        <is>
          <t>-</t>
        </is>
      </c>
      <c r="H35" s="42" t="inlineStr">
        <is>
          <t>Not started</t>
        </is>
      </c>
      <c r="I35" s="71" t="inlineStr">
        <is>
          <t>(overhead)</t>
        </is>
      </c>
      <c r="J35" s="78" t="inlineStr">
        <is>
          <t>-</t>
        </is>
      </c>
    </row>
    <row r="36" ht="62" customHeight="1">
      <c r="A36" s="40" t="inlineStr"/>
      <c r="B36" s="41" t="inlineStr"/>
      <c r="C36" s="41" t="inlineStr">
        <is>
          <t>10:00 - 22:30</t>
        </is>
      </c>
      <c r="D36" s="39" t="inlineStr">
        <is>
          <t>Manuscript</t>
        </is>
      </c>
      <c r="E36" s="40" t="inlineStr">
        <is>
          <t>Manuscript</t>
        </is>
      </c>
      <c r="F36" s="41" t="inlineStr">
        <is>
          <t>Support the final read. Check every section describing something you built actually matches it.</t>
        </is>
      </c>
      <c r="G36" s="41" t="inlineStr">
        <is>
          <t>Your sections are verified against the frozen build.</t>
        </is>
      </c>
      <c r="H36" s="42" t="inlineStr">
        <is>
          <t>Not started</t>
        </is>
      </c>
      <c r="I36" s="70" t="inlineStr">
        <is>
          <t>;MANUSCRIPT;</t>
        </is>
      </c>
      <c r="J36" s="78" t="inlineStr">
        <is>
          <t>-</t>
        </is>
      </c>
    </row>
    <row r="37">
      <c r="A37" s="43" t="inlineStr">
        <is>
          <t>GATE 20:00 - manuscript complete</t>
        </is>
      </c>
      <c r="B37" s="51" t="n"/>
      <c r="C37" s="51" t="n"/>
      <c r="D37" s="51" t="n"/>
      <c r="E37" s="51" t="n"/>
      <c r="F37" s="51" t="n"/>
      <c r="G37" s="51" t="n"/>
      <c r="H37" s="52" t="n"/>
    </row>
  </sheetData>
  <mergeCells count="4">
    <mergeCell ref="A37:H37"/>
    <mergeCell ref="A20:H20"/>
    <mergeCell ref="A2:H2"/>
    <mergeCell ref="A30:H30"/>
  </mergeCells>
  <dataValidations count="1">
    <dataValidation sqref="H5:H37" showDropDown="0" showInputMessage="0" showErrorMessage="0" allowBlank="1" type="list">
      <formula1>"Not started,In progress,Done,Blocked"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41"/>
  <sheetViews>
    <sheetView workbookViewId="0">
      <pane ySplit="5" topLeftCell="A6" activePane="bottomLeft" state="frozen"/>
      <selection pane="bottomLeft" activeCell="A1" sqref="A1"/>
    </sheetView>
  </sheetViews>
  <sheetFormatPr baseColWidth="8" defaultRowHeight="15"/>
  <cols>
    <col width="16" customWidth="1" min="1" max="1"/>
    <col width="50" customWidth="1" min="2" max="2"/>
    <col width="12" customWidth="1" min="3" max="3"/>
    <col width="11" customWidth="1" min="4" max="4"/>
    <col width="12" customWidth="1" min="5" max="5"/>
    <col width="12" customWidth="1" min="6" max="6"/>
    <col width="13" customWidth="1" min="7" max="7"/>
    <col width="11" customWidth="1" min="8" max="8"/>
    <col width="14" customWidth="1" min="9" max="9"/>
    <col width="9" customWidth="1" min="10" max="10"/>
    <col width="11" customWidth="1" min="11" max="11"/>
    <col width="12" customWidth="1" min="12" max="12"/>
    <col width="10" customWidth="1" min="13" max="13"/>
  </cols>
  <sheetData>
    <row r="1">
      <c r="A1" s="20" t="inlineStr">
        <is>
          <t>Manuscript - 10% of the grade, currently 0.769%</t>
        </is>
      </c>
    </row>
    <row r="2" ht="28" customHeight="1">
      <c r="A2" s="19" t="inlineStr">
        <is>
          <t>Weight is allocated per module. Put Y in Done? to count a module's manuscript block in full, or a partial figure in Actual %. The 26 subtasks below are the checklist behind it.</t>
        </is>
      </c>
    </row>
    <row r="4">
      <c r="A4" s="3" t="inlineStr">
        <is>
          <t>A. WEIGHT BY MODULE</t>
        </is>
      </c>
    </row>
    <row r="5" ht="24" customHeight="1">
      <c r="A5" s="5" t="inlineStr">
        <is>
          <t>Module</t>
        </is>
      </c>
      <c r="B5" s="5" t="inlineStr">
        <is>
          <t>What it documents</t>
        </is>
      </c>
      <c r="C5" s="5" t="inlineStr"/>
      <c r="D5" s="5" t="inlineStr">
        <is>
          <t>Owner</t>
        </is>
      </c>
      <c r="E5" s="5" t="inlineStr">
        <is>
          <t>Alloc %</t>
        </is>
      </c>
      <c r="F5" s="5" t="inlineStr">
        <is>
          <t>Actual %</t>
        </is>
      </c>
      <c r="G5" s="5" t="inlineStr">
        <is>
          <t>Points to gain</t>
        </is>
      </c>
      <c r="H5" s="5" t="inlineStr">
        <is>
          <t>% done</t>
        </is>
      </c>
      <c r="I5" s="5" t="inlineStr">
        <is>
          <t>Status</t>
        </is>
      </c>
      <c r="J5" s="66" t="inlineStr">
        <is>
          <t>Done?</t>
        </is>
      </c>
      <c r="K5" s="66" t="inlineStr">
        <is>
          <t>Blocks done</t>
        </is>
      </c>
      <c r="L5" s="66" t="inlineStr">
        <is>
          <t>Blocks planned</t>
        </is>
      </c>
    </row>
    <row r="6">
      <c r="A6" s="27" t="inlineStr">
        <is>
          <t>MOD-BE</t>
        </is>
      </c>
      <c r="B6" s="9" t="inlineStr">
        <is>
          <t>Every backend API section in Chapter 4</t>
        </is>
      </c>
      <c r="C6" s="52" t="n"/>
      <c r="D6" s="9" t="inlineStr">
        <is>
          <t>Jertz</t>
        </is>
      </c>
      <c r="E6" s="28" t="n">
        <v>2.564103</v>
      </c>
      <c r="F6" s="29" t="n">
        <v>0</v>
      </c>
      <c r="G6" s="30">
        <f>E6-(IF(UPPER(J6)="Y",E6,IF(L6=0,F6,F6+(E6-F6)*K6/L6)))</f>
        <v/>
      </c>
      <c r="H6" s="31">
        <f>IFERROR((IF(UPPER(J6)="Y",E6,IF(L6=0,F6,F6+(E6-F6)*K6/L6)))/E6,0)</f>
        <v/>
      </c>
      <c r="I6" s="9">
        <f>IF((IF(UPPER(J6)="Y",E6,IF(L6=0,F6,F6+(E6-F6)*K6/L6)))&gt;=E6,"Done",IF((IF(UPPER(J6)="Y",E6,IF(L6=0,F6,F6+(E6-F6)*K6/L6)))&gt;0,"In progress","Not started"))</f>
        <v/>
      </c>
      <c r="J6" s="67" t="inlineStr">
        <is>
          <t>N</t>
        </is>
      </c>
      <c r="K6" s="69">
        <f>COUNTIFS(Kiarra!$I:$I,"*;"&amp;$A6&amp;";*",Kiarra!$H:$H,"Done")+COUNTIFS(Hans!$I:$I,"*;"&amp;$A6&amp;";*",Hans!$H:$H,"Done")+COUNTIFS(Jertz!$I:$I,"*;"&amp;$A6&amp;";*",Jertz!$H:$H,"Done")+COUNTIFS(Ysa!$I:$I,"*;"&amp;$A6&amp;";*",Ysa!$H:$H,"Done")</f>
        <v/>
      </c>
      <c r="L6" s="69">
        <f>COUNTIF(Kiarra!$I:$I,"*;"&amp;$A6&amp;";*")+COUNTIF(Hans!$I:$I,"*;"&amp;$A6&amp;";*")+COUNTIF(Jertz!$I:$I,"*;"&amp;$A6&amp;";*")+COUNTIF(Ysa!$I:$I,"*;"&amp;$A6&amp;";*")</f>
        <v/>
      </c>
    </row>
    <row r="7">
      <c r="A7" s="27" t="inlineStr">
        <is>
          <t>MOD-ANA</t>
        </is>
      </c>
      <c r="B7" s="9" t="inlineStr">
        <is>
          <t>Every model, its validation and its results</t>
        </is>
      </c>
      <c r="C7" s="52" t="n"/>
      <c r="D7" s="9" t="inlineStr">
        <is>
          <t>Hans</t>
        </is>
      </c>
      <c r="E7" s="28" t="n">
        <v>2.564103</v>
      </c>
      <c r="F7" s="29" t="n">
        <v>0</v>
      </c>
      <c r="G7" s="30">
        <f>E7-(IF(UPPER(J7)="Y",E7,IF(L7=0,F7,F7+(E7-F7)*K7/L7)))</f>
        <v/>
      </c>
      <c r="H7" s="31">
        <f>IFERROR((IF(UPPER(J7)="Y",E7,IF(L7=0,F7,F7+(E7-F7)*K7/L7)))/E7,0)</f>
        <v/>
      </c>
      <c r="I7" s="9">
        <f>IF((IF(UPPER(J7)="Y",E7,IF(L7=0,F7,F7+(E7-F7)*K7/L7)))&gt;=E7,"Done",IF((IF(UPPER(J7)="Y",E7,IF(L7=0,F7,F7+(E7-F7)*K7/L7)))&gt;0,"In progress","Not started"))</f>
        <v/>
      </c>
      <c r="J7" s="67" t="inlineStr">
        <is>
          <t>N</t>
        </is>
      </c>
      <c r="K7" s="69">
        <f>COUNTIFS(Kiarra!$I:$I,"*;"&amp;$A7&amp;";*",Kiarra!$H:$H,"Done")+COUNTIFS(Hans!$I:$I,"*;"&amp;$A7&amp;";*",Hans!$H:$H,"Done")+COUNTIFS(Jertz!$I:$I,"*;"&amp;$A7&amp;";*",Jertz!$H:$H,"Done")+COUNTIFS(Ysa!$I:$I,"*;"&amp;$A7&amp;";*",Ysa!$H:$H,"Done")</f>
        <v/>
      </c>
      <c r="L7" s="69">
        <f>COUNTIF(Kiarra!$I:$I,"*;"&amp;$A7&amp;";*")+COUNTIF(Hans!$I:$I,"*;"&amp;$A7&amp;";*")+COUNTIF(Jertz!$I:$I,"*;"&amp;$A7&amp;";*")+COUNTIF(Ysa!$I:$I,"*;"&amp;$A7&amp;";*")</f>
        <v/>
      </c>
    </row>
    <row r="8">
      <c r="A8" s="27" t="inlineStr">
        <is>
          <t>MOD-FE</t>
        </is>
      </c>
      <c r="B8" s="9" t="inlineStr">
        <is>
          <t>Dashboard pages, UI/UX system, auth flow</t>
        </is>
      </c>
      <c r="C8" s="52" t="n"/>
      <c r="D8" s="9" t="inlineStr">
        <is>
          <t>Kiarra</t>
        </is>
      </c>
      <c r="E8" s="28" t="n">
        <v>2.307692</v>
      </c>
      <c r="F8" s="29" t="n">
        <v>0</v>
      </c>
      <c r="G8" s="30">
        <f>E8-(IF(UPPER(J8)="Y",E8,IF(L8=0,F8,F8+(E8-F8)*K8/L8)))</f>
        <v/>
      </c>
      <c r="H8" s="31">
        <f>IFERROR((IF(UPPER(J8)="Y",E8,IF(L8=0,F8,F8+(E8-F8)*K8/L8)))/E8,0)</f>
        <v/>
      </c>
      <c r="I8" s="9">
        <f>IF((IF(UPPER(J8)="Y",E8,IF(L8=0,F8,F8+(E8-F8)*K8/L8)))&gt;=E8,"Done",IF((IF(UPPER(J8)="Y",E8,IF(L8=0,F8,F8+(E8-F8)*K8/L8)))&gt;0,"In progress","Not started"))</f>
        <v/>
      </c>
      <c r="J8" s="67" t="inlineStr">
        <is>
          <t>N</t>
        </is>
      </c>
      <c r="K8" s="69">
        <f>COUNTIFS(Kiarra!$I:$I,"*;"&amp;$A8&amp;";*",Kiarra!$H:$H,"Done")+COUNTIFS(Hans!$I:$I,"*;"&amp;$A8&amp;";*",Hans!$H:$H,"Done")+COUNTIFS(Jertz!$I:$I,"*;"&amp;$A8&amp;";*",Jertz!$H:$H,"Done")+COUNTIFS(Ysa!$I:$I,"*;"&amp;$A8&amp;";*",Ysa!$H:$H,"Done")</f>
        <v/>
      </c>
      <c r="L8" s="69">
        <f>COUNTIF(Kiarra!$I:$I,"*;"&amp;$A8&amp;";*")+COUNTIF(Hans!$I:$I,"*;"&amp;$A8&amp;";*")+COUNTIF(Jertz!$I:$I,"*;"&amp;$A8&amp;";*")+COUNTIF(Ysa!$I:$I,"*;"&amp;$A8&amp;";*")</f>
        <v/>
      </c>
    </row>
    <row r="9">
      <c r="A9" s="27" t="inlineStr">
        <is>
          <t>CORE</t>
        </is>
      </c>
      <c r="B9" s="9" t="inlineStr">
        <is>
          <t>Hosting, repo strategy, environment config</t>
        </is>
      </c>
      <c r="C9" s="52" t="n"/>
      <c r="D9" s="9" t="inlineStr">
        <is>
          <t>Kiarra</t>
        </is>
      </c>
      <c r="E9" s="28" t="n">
        <v>1.794872</v>
      </c>
      <c r="F9" s="29" t="n">
        <v>0.25641</v>
      </c>
      <c r="G9" s="30">
        <f>E9-(IF(UPPER(J9)="Y",E9,IF(L9=0,F9,F9+(E9-F9)*K9/L9)))</f>
        <v/>
      </c>
      <c r="H9" s="31">
        <f>IFERROR((IF(UPPER(J9)="Y",E9,IF(L9=0,F9,F9+(E9-F9)*K9/L9)))/E9,0)</f>
        <v/>
      </c>
      <c r="I9" s="9">
        <f>IF((IF(UPPER(J9)="Y",E9,IF(L9=0,F9,F9+(E9-F9)*K9/L9)))&gt;=E9,"Done",IF((IF(UPPER(J9)="Y",E9,IF(L9=0,F9,F9+(E9-F9)*K9/L9)))&gt;0,"In progress","Not started"))</f>
        <v/>
      </c>
      <c r="J9" s="67" t="inlineStr">
        <is>
          <t>N</t>
        </is>
      </c>
      <c r="K9" s="69">
        <f>COUNTIFS(Kiarra!$I:$I,"*;"&amp;$A9&amp;";*",Kiarra!$H:$H,"Done")+COUNTIFS(Hans!$I:$I,"*;"&amp;$A9&amp;";*",Hans!$H:$H,"Done")+COUNTIFS(Jertz!$I:$I,"*;"&amp;$A9&amp;";*",Jertz!$H:$H,"Done")+COUNTIFS(Ysa!$I:$I,"*;"&amp;$A9&amp;";*",Ysa!$H:$H,"Done")</f>
        <v/>
      </c>
      <c r="L9" s="69">
        <f>COUNTIF(Kiarra!$I:$I,"*;"&amp;$A9&amp;";*")+COUNTIF(Hans!$I:$I,"*;"&amp;$A9&amp;";*")+COUNTIF(Jertz!$I:$I,"*;"&amp;$A9&amp;";*")+COUNTIF(Ysa!$I:$I,"*;"&amp;$A9&amp;";*")</f>
        <v/>
      </c>
    </row>
    <row r="10">
      <c r="A10" s="27" t="inlineStr">
        <is>
          <t>MOD-DB</t>
        </is>
      </c>
      <c r="B10" s="9" t="inlineStr">
        <is>
          <t>ETL pipeline, schema, cache</t>
        </is>
      </c>
      <c r="C10" s="52" t="n"/>
      <c r="D10" s="9" t="inlineStr">
        <is>
          <t>Hans</t>
        </is>
      </c>
      <c r="E10" s="28" t="n">
        <v>0.512821</v>
      </c>
      <c r="F10" s="29" t="n">
        <v>0.25641</v>
      </c>
      <c r="G10" s="30">
        <f>E10-(IF(UPPER(J10)="Y",E10,IF(L10=0,F10,F10+(E10-F10)*K10/L10)))</f>
        <v/>
      </c>
      <c r="H10" s="31">
        <f>IFERROR((IF(UPPER(J10)="Y",E10,IF(L10=0,F10,F10+(E10-F10)*K10/L10)))/E10,0)</f>
        <v/>
      </c>
      <c r="I10" s="9">
        <f>IF((IF(UPPER(J10)="Y",E10,IF(L10=0,F10,F10+(E10-F10)*K10/L10)))&gt;=E10,"Done",IF((IF(UPPER(J10)="Y",E10,IF(L10=0,F10,F10+(E10-F10)*K10/L10)))&gt;0,"In progress","Not started"))</f>
        <v/>
      </c>
      <c r="J10" s="67" t="inlineStr">
        <is>
          <t>N</t>
        </is>
      </c>
      <c r="K10" s="69">
        <f>COUNTIFS(Kiarra!$I:$I,"*;"&amp;$A10&amp;";*",Kiarra!$H:$H,"Done")+COUNTIFS(Hans!$I:$I,"*;"&amp;$A10&amp;";*",Hans!$H:$H,"Done")+COUNTIFS(Jertz!$I:$I,"*;"&amp;$A10&amp;";*",Jertz!$H:$H,"Done")+COUNTIFS(Ysa!$I:$I,"*;"&amp;$A10&amp;";*",Ysa!$H:$H,"Done")</f>
        <v/>
      </c>
      <c r="L10" s="69">
        <f>COUNTIF(Kiarra!$I:$I,"*;"&amp;$A10&amp;";*")+COUNTIF(Hans!$I:$I,"*;"&amp;$A10&amp;";*")+COUNTIF(Jertz!$I:$I,"*;"&amp;$A10&amp;";*")+COUNTIF(Ysa!$I:$I,"*;"&amp;$A10&amp;";*")</f>
        <v/>
      </c>
    </row>
    <row r="11">
      <c r="A11" s="27" t="inlineStr">
        <is>
          <t>MANUSCRIPT</t>
        </is>
      </c>
      <c r="B11" s="9" t="inlineStr">
        <is>
          <t>Revise Chapters 1-3 where development moved</t>
        </is>
      </c>
      <c r="C11" s="52" t="n"/>
      <c r="D11" s="9" t="inlineStr">
        <is>
          <t>Kiarra</t>
        </is>
      </c>
      <c r="E11" s="28" t="n">
        <v>0.25641</v>
      </c>
      <c r="F11" s="29" t="n">
        <v>0.25641</v>
      </c>
      <c r="G11" s="30">
        <f>E11-(IF(UPPER(J11)="Y",E11,IF(L11=0,F11,F11+(E11-F11)*K11/L11)))</f>
        <v/>
      </c>
      <c r="H11" s="31">
        <f>IFERROR((IF(UPPER(J11)="Y",E11,IF(L11=0,F11,F11+(E11-F11)*K11/L11)))/E11,0)</f>
        <v/>
      </c>
      <c r="I11" s="9">
        <f>IF((IF(UPPER(J11)="Y",E11,IF(L11=0,F11,F11+(E11-F11)*K11/L11)))&gt;=E11,"Done",IF((IF(UPPER(J11)="Y",E11,IF(L11=0,F11,F11+(E11-F11)*K11/L11)))&gt;0,"In progress","Not started"))</f>
        <v/>
      </c>
      <c r="J11" s="67" t="inlineStr">
        <is>
          <t>N</t>
        </is>
      </c>
      <c r="K11" s="69">
        <f>COUNTIFS(Kiarra!$I:$I,"*;"&amp;$A11&amp;";*",Kiarra!$H:$H,"Done")+COUNTIFS(Hans!$I:$I,"*;"&amp;$A11&amp;";*",Hans!$H:$H,"Done")+COUNTIFS(Jertz!$I:$I,"*;"&amp;$A11&amp;";*",Jertz!$H:$H,"Done")+COUNTIFS(Ysa!$I:$I,"*;"&amp;$A11&amp;";*",Ysa!$H:$H,"Done")</f>
        <v/>
      </c>
      <c r="L11" s="69">
        <f>COUNTIF(Kiarra!$I:$I,"*;"&amp;$A11&amp;";*")+COUNTIF(Hans!$I:$I,"*;"&amp;$A11&amp;";*")+COUNTIF(Jertz!$I:$I,"*;"&amp;$A11&amp;";*")+COUNTIF(Ysa!$I:$I,"*;"&amp;$A11&amp;";*")</f>
        <v/>
      </c>
    </row>
    <row r="12">
      <c r="A12" s="10" t="inlineStr">
        <is>
          <t>TOTAL</t>
        </is>
      </c>
      <c r="B12" s="18" t="n"/>
      <c r="C12" s="18" t="n"/>
      <c r="D12" s="18" t="n"/>
      <c r="E12" s="17">
        <f>SUM(E6:E11)</f>
        <v/>
      </c>
      <c r="F12" s="17">
        <f>SUM(F6:F11)</f>
        <v/>
      </c>
      <c r="G12" s="17">
        <f>SUM(G6:G11)</f>
        <v/>
      </c>
      <c r="H12" s="18" t="n"/>
      <c r="I12" s="18" t="n"/>
      <c r="J12" s="68">
        <f>E12-G12</f>
        <v/>
      </c>
      <c r="K12" s="3">
        <f>SUM(K6:K11)</f>
        <v/>
      </c>
      <c r="L12" s="3">
        <f>SUM(L6:L11)</f>
        <v/>
      </c>
    </row>
    <row r="14">
      <c r="A14" s="3" t="inlineStr">
        <is>
          <t>B. THE 26 'DOCUMENT X' SUBTASKS - each follows its own module task. Status is live: it reads the Closes column on the member sheets, so ticking the MS-01 block that writes a section turns its row Done here.</t>
        </is>
      </c>
    </row>
    <row r="15" ht="24" customHeight="1">
      <c r="A15" s="5" t="inlineStr">
        <is>
          <t>Rides task</t>
        </is>
      </c>
      <c r="B15" s="5" t="inlineStr">
        <is>
          <t>Subtask</t>
        </is>
      </c>
      <c r="C15" s="5" t="inlineStr"/>
      <c r="D15" s="5" t="inlineStr">
        <is>
          <t>Owner</t>
        </is>
      </c>
      <c r="E15" s="5" t="inlineStr">
        <is>
          <t>Do it when</t>
        </is>
      </c>
      <c r="F15" s="5" t="inlineStr"/>
      <c r="G15" s="5" t="inlineStr"/>
      <c r="H15" s="5" t="inlineStr"/>
      <c r="I15" s="5" t="inlineStr">
        <is>
          <t>Status</t>
        </is>
      </c>
      <c r="K15" s="5" t="inlineStr">
        <is>
          <t>Module</t>
        </is>
      </c>
      <c r="L15" s="5" t="inlineStr">
        <is>
          <t>Weight share</t>
        </is>
      </c>
      <c r="M15" s="5" t="inlineStr">
        <is>
          <t>To gain</t>
        </is>
      </c>
    </row>
    <row r="16">
      <c r="A16" s="27" t="inlineStr">
        <is>
          <t>TRAFFIC</t>
        </is>
      </c>
      <c r="B16" s="9" t="inlineStr">
        <is>
          <t>Document Traffic Dashboard in Chapter 4</t>
        </is>
      </c>
      <c r="C16" s="52" t="n"/>
      <c r="D16" s="9" t="inlineStr">
        <is>
          <t>Hans</t>
        </is>
      </c>
      <c r="E16" s="9" t="inlineStr">
        <is>
          <t>The evening TRAFFIC closes</t>
        </is>
      </c>
      <c r="F16" s="51" t="n"/>
      <c r="G16" s="51" t="n"/>
      <c r="H16" s="52" t="n"/>
      <c r="I16" s="9">
        <f>IF((COUNTIF(Kiarra!$J:$J,"*;MS:"&amp;$A16&amp;";*")+COUNTIF(Hans!$J:$J,"*;MS:"&amp;$A16&amp;";*")+COUNTIF(Jertz!$J:$J,"*;MS:"&amp;$A16&amp;";*")+COUNTIF(Ysa!$J:$J,"*;MS:"&amp;$A16&amp;";*"))=0,"NOT SCHEDULED",IF((COUNTIFS(Kiarra!$J:$J,"*;MS:"&amp;$A16&amp;";*",Kiarra!$H:$H,"Done")+COUNTIFS(Hans!$J:$J,"*;MS:"&amp;$A16&amp;";*",Hans!$H:$H,"Done")+COUNTIFS(Jertz!$J:$J,"*;MS:"&amp;$A16&amp;";*",Jertz!$H:$H,"Done")+COUNTIFS(Ysa!$J:$J,"*;MS:"&amp;$A16&amp;";*",Ysa!$H:$H,"Done"))&gt;=(COUNTIF(Kiarra!$J:$J,"*;MS:"&amp;$A16&amp;";*")+COUNTIF(Hans!$J:$J,"*;MS:"&amp;$A16&amp;";*")+COUNTIF(Jertz!$J:$J,"*;MS:"&amp;$A16&amp;";*")+COUNTIF(Ysa!$J:$J,"*;MS:"&amp;$A16&amp;";*")),"Done",IF((COUNTIFS(Kiarra!$J:$J,"*;MS:"&amp;$A16&amp;";*",Kiarra!$H:$H,"Done")+COUNTIFS(Hans!$J:$J,"*;MS:"&amp;$A16&amp;";*",Hans!$H:$H,"Done")+COUNTIFS(Jertz!$J:$J,"*;MS:"&amp;$A16&amp;";*",Jertz!$H:$H,"Done")+COUNTIFS(Ysa!$J:$J,"*;MS:"&amp;$A16&amp;";*",Ysa!$H:$H,"Done"))&gt;0,"In progress","Not started")))</f>
        <v/>
      </c>
      <c r="K16" s="7" t="inlineStr">
        <is>
          <t>MOD-FE</t>
        </is>
      </c>
      <c r="L16" s="15" t="n">
        <v>0.5769</v>
      </c>
      <c r="M16" s="15">
        <f>IF($I16="Done",0,$L16)</f>
        <v/>
      </c>
    </row>
    <row r="17">
      <c r="A17" s="27" t="inlineStr">
        <is>
          <t>TRAFFICDESC</t>
        </is>
      </c>
      <c r="B17" s="9" t="inlineStr">
        <is>
          <t>Document traffic descriptive analytics</t>
        </is>
      </c>
      <c r="C17" s="52" t="n"/>
      <c r="D17" s="9" t="inlineStr">
        <is>
          <t>Hans</t>
        </is>
      </c>
      <c r="E17" s="9" t="inlineStr">
        <is>
          <t>The evening TRAFFICDESC closes</t>
        </is>
      </c>
      <c r="F17" s="51" t="n"/>
      <c r="G17" s="51" t="n"/>
      <c r="H17" s="52" t="n"/>
      <c r="I17" s="9">
        <f>IF((COUNTIF(Kiarra!$J:$J,"*;MS:"&amp;$A17&amp;";*")+COUNTIF(Hans!$J:$J,"*;MS:"&amp;$A17&amp;";*")+COUNTIF(Jertz!$J:$J,"*;MS:"&amp;$A17&amp;";*")+COUNTIF(Ysa!$J:$J,"*;MS:"&amp;$A17&amp;";*"))=0,"NOT SCHEDULED",IF((COUNTIFS(Kiarra!$J:$J,"*;MS:"&amp;$A17&amp;";*",Kiarra!$H:$H,"Done")+COUNTIFS(Hans!$J:$J,"*;MS:"&amp;$A17&amp;";*",Hans!$H:$H,"Done")+COUNTIFS(Jertz!$J:$J,"*;MS:"&amp;$A17&amp;";*",Jertz!$H:$H,"Done")+COUNTIFS(Ysa!$J:$J,"*;MS:"&amp;$A17&amp;";*",Ysa!$H:$H,"Done"))&gt;=(COUNTIF(Kiarra!$J:$J,"*;MS:"&amp;$A17&amp;";*")+COUNTIF(Hans!$J:$J,"*;MS:"&amp;$A17&amp;";*")+COUNTIF(Jertz!$J:$J,"*;MS:"&amp;$A17&amp;";*")+COUNTIF(Ysa!$J:$J,"*;MS:"&amp;$A17&amp;";*")),"Done",IF((COUNTIFS(Kiarra!$J:$J,"*;MS:"&amp;$A17&amp;";*",Kiarra!$H:$H,"Done")+COUNTIFS(Hans!$J:$J,"*;MS:"&amp;$A17&amp;";*",Hans!$H:$H,"Done")+COUNTIFS(Jertz!$J:$J,"*;MS:"&amp;$A17&amp;";*",Jertz!$H:$H,"Done")+COUNTIFS(Ysa!$J:$J,"*;MS:"&amp;$A17&amp;";*",Ysa!$H:$H,"Done"))&gt;0,"In progress","Not started")))</f>
        <v/>
      </c>
      <c r="K17" s="7" t="inlineStr">
        <is>
          <t>MOD-ANA</t>
        </is>
      </c>
      <c r="L17" s="15" t="n">
        <v>0.2849</v>
      </c>
      <c r="M17" s="15">
        <f>IF($I17="Done",0,$L17)</f>
        <v/>
      </c>
    </row>
    <row r="18">
      <c r="A18" s="27" t="inlineStr">
        <is>
          <t>TRAFFICFC</t>
        </is>
      </c>
      <c r="B18" s="9" t="inlineStr">
        <is>
          <t>Document traffic forecasting model</t>
        </is>
      </c>
      <c r="C18" s="52" t="n"/>
      <c r="D18" s="9" t="inlineStr">
        <is>
          <t>Hans</t>
        </is>
      </c>
      <c r="E18" s="9" t="inlineStr">
        <is>
          <t>The evening TRAFFICFC closes</t>
        </is>
      </c>
      <c r="F18" s="51" t="n"/>
      <c r="G18" s="51" t="n"/>
      <c r="H18" s="52" t="n"/>
      <c r="I18" s="9">
        <f>IF((COUNTIF(Kiarra!$J:$J,"*;MS:"&amp;$A18&amp;";*")+COUNTIF(Hans!$J:$J,"*;MS:"&amp;$A18&amp;";*")+COUNTIF(Jertz!$J:$J,"*;MS:"&amp;$A18&amp;";*")+COUNTIF(Ysa!$J:$J,"*;MS:"&amp;$A18&amp;";*"))=0,"NOT SCHEDULED",IF((COUNTIFS(Kiarra!$J:$J,"*;MS:"&amp;$A18&amp;";*",Kiarra!$H:$H,"Done")+COUNTIFS(Hans!$J:$J,"*;MS:"&amp;$A18&amp;";*",Hans!$H:$H,"Done")+COUNTIFS(Jertz!$J:$J,"*;MS:"&amp;$A18&amp;";*",Jertz!$H:$H,"Done")+COUNTIFS(Ysa!$J:$J,"*;MS:"&amp;$A18&amp;";*",Ysa!$H:$H,"Done"))&gt;=(COUNTIF(Kiarra!$J:$J,"*;MS:"&amp;$A18&amp;";*")+COUNTIF(Hans!$J:$J,"*;MS:"&amp;$A18&amp;";*")+COUNTIF(Jertz!$J:$J,"*;MS:"&amp;$A18&amp;";*")+COUNTIF(Ysa!$J:$J,"*;MS:"&amp;$A18&amp;";*")),"Done",IF((COUNTIFS(Kiarra!$J:$J,"*;MS:"&amp;$A18&amp;";*",Kiarra!$H:$H,"Done")+COUNTIFS(Hans!$J:$J,"*;MS:"&amp;$A18&amp;";*",Hans!$H:$H,"Done")+COUNTIFS(Jertz!$J:$J,"*;MS:"&amp;$A18&amp;";*",Jertz!$H:$H,"Done")+COUNTIFS(Ysa!$J:$J,"*;MS:"&amp;$A18&amp;";*",Ysa!$H:$H,"Done"))&gt;0,"In progress","Not started")))</f>
        <v/>
      </c>
      <c r="K18" s="7" t="inlineStr">
        <is>
          <t>MOD-ANA</t>
        </is>
      </c>
      <c r="L18" s="15" t="n">
        <v>0.2849</v>
      </c>
      <c r="M18" s="15">
        <f>IF($I18="Done",0,$L18)</f>
        <v/>
      </c>
    </row>
    <row r="19">
      <c r="A19" s="27" t="inlineStr">
        <is>
          <t>EMISSDESC</t>
        </is>
      </c>
      <c r="B19" s="9" t="inlineStr">
        <is>
          <t>Document emissions descriptive analytics</t>
        </is>
      </c>
      <c r="C19" s="52" t="n"/>
      <c r="D19" s="9" t="inlineStr">
        <is>
          <t>Hans</t>
        </is>
      </c>
      <c r="E19" s="9" t="inlineStr">
        <is>
          <t>The evening EMISSDESC closes</t>
        </is>
      </c>
      <c r="F19" s="51" t="n"/>
      <c r="G19" s="51" t="n"/>
      <c r="H19" s="52" t="n"/>
      <c r="I19" s="9">
        <f>IF((COUNTIF(Kiarra!$J:$J,"*;MS:"&amp;$A19&amp;";*")+COUNTIF(Hans!$J:$J,"*;MS:"&amp;$A19&amp;";*")+COUNTIF(Jertz!$J:$J,"*;MS:"&amp;$A19&amp;";*")+COUNTIF(Ysa!$J:$J,"*;MS:"&amp;$A19&amp;";*"))=0,"NOT SCHEDULED",IF((COUNTIFS(Kiarra!$J:$J,"*;MS:"&amp;$A19&amp;";*",Kiarra!$H:$H,"Done")+COUNTIFS(Hans!$J:$J,"*;MS:"&amp;$A19&amp;";*",Hans!$H:$H,"Done")+COUNTIFS(Jertz!$J:$J,"*;MS:"&amp;$A19&amp;";*",Jertz!$H:$H,"Done")+COUNTIFS(Ysa!$J:$J,"*;MS:"&amp;$A19&amp;";*",Ysa!$H:$H,"Done"))&gt;=(COUNTIF(Kiarra!$J:$J,"*;MS:"&amp;$A19&amp;";*")+COUNTIF(Hans!$J:$J,"*;MS:"&amp;$A19&amp;";*")+COUNTIF(Jertz!$J:$J,"*;MS:"&amp;$A19&amp;";*")+COUNTIF(Ysa!$J:$J,"*;MS:"&amp;$A19&amp;";*")),"Done",IF((COUNTIFS(Kiarra!$J:$J,"*;MS:"&amp;$A19&amp;";*",Kiarra!$H:$H,"Done")+COUNTIFS(Hans!$J:$J,"*;MS:"&amp;$A19&amp;";*",Hans!$H:$H,"Done")+COUNTIFS(Jertz!$J:$J,"*;MS:"&amp;$A19&amp;";*",Jertz!$H:$H,"Done")+COUNTIFS(Ysa!$J:$J,"*;MS:"&amp;$A19&amp;";*",Ysa!$H:$H,"Done"))&gt;0,"In progress","Not started")))</f>
        <v/>
      </c>
      <c r="K19" s="7" t="inlineStr">
        <is>
          <t>MOD-ANA</t>
        </is>
      </c>
      <c r="L19" s="15" t="n">
        <v>0.2849</v>
      </c>
      <c r="M19" s="15">
        <f>IF($I19="Done",0,$L19)</f>
        <v/>
      </c>
    </row>
    <row r="20">
      <c r="A20" s="27" t="inlineStr">
        <is>
          <t>SUSTAIN</t>
        </is>
      </c>
      <c r="B20" s="9" t="inlineStr">
        <is>
          <t>Document sustainability API</t>
        </is>
      </c>
      <c r="C20" s="52" t="n"/>
      <c r="D20" s="9" t="inlineStr">
        <is>
          <t>Hans</t>
        </is>
      </c>
      <c r="E20" s="9" t="inlineStr">
        <is>
          <t>The evening SUSTAIN closes</t>
        </is>
      </c>
      <c r="F20" s="51" t="n"/>
      <c r="G20" s="51" t="n"/>
      <c r="H20" s="52" t="n"/>
      <c r="I20" s="9">
        <f>IF((COUNTIF(Kiarra!$J:$J,"*;MS:"&amp;$A20&amp;";*")+COUNTIF(Hans!$J:$J,"*;MS:"&amp;$A20&amp;";*")+COUNTIF(Jertz!$J:$J,"*;MS:"&amp;$A20&amp;";*")+COUNTIF(Ysa!$J:$J,"*;MS:"&amp;$A20&amp;";*"))=0,"NOT SCHEDULED",IF((COUNTIFS(Kiarra!$J:$J,"*;MS:"&amp;$A20&amp;";*",Kiarra!$H:$H,"Done")+COUNTIFS(Hans!$J:$J,"*;MS:"&amp;$A20&amp;";*",Hans!$H:$H,"Done")+COUNTIFS(Jertz!$J:$J,"*;MS:"&amp;$A20&amp;";*",Jertz!$H:$H,"Done")+COUNTIFS(Ysa!$J:$J,"*;MS:"&amp;$A20&amp;";*",Ysa!$H:$H,"Done"))&gt;=(COUNTIF(Kiarra!$J:$J,"*;MS:"&amp;$A20&amp;";*")+COUNTIF(Hans!$J:$J,"*;MS:"&amp;$A20&amp;";*")+COUNTIF(Jertz!$J:$J,"*;MS:"&amp;$A20&amp;";*")+COUNTIF(Ysa!$J:$J,"*;MS:"&amp;$A20&amp;";*")),"Done",IF((COUNTIFS(Kiarra!$J:$J,"*;MS:"&amp;$A20&amp;";*",Kiarra!$H:$H,"Done")+COUNTIFS(Hans!$J:$J,"*;MS:"&amp;$A20&amp;";*",Hans!$H:$H,"Done")+COUNTIFS(Jertz!$J:$J,"*;MS:"&amp;$A20&amp;";*",Jertz!$H:$H,"Done")+COUNTIFS(Ysa!$J:$J,"*;MS:"&amp;$A20&amp;";*",Ysa!$H:$H,"Done"))&gt;0,"In progress","Not started")))</f>
        <v/>
      </c>
      <c r="K20" s="7" t="inlineStr">
        <is>
          <t>MOD-BE</t>
        </is>
      </c>
      <c r="L20" s="15" t="n">
        <v>0.3663</v>
      </c>
      <c r="M20" s="15">
        <f>IF($I20="Done",0,$L20)</f>
        <v/>
      </c>
    </row>
    <row r="21">
      <c r="A21" s="27" t="inlineStr">
        <is>
          <t>DATAPREP</t>
        </is>
      </c>
      <c r="B21" s="9" t="inlineStr">
        <is>
          <t>Document data preparation &amp; integration process</t>
        </is>
      </c>
      <c r="C21" s="52" t="n"/>
      <c r="D21" s="9" t="inlineStr">
        <is>
          <t>Hans</t>
        </is>
      </c>
      <c r="E21" s="9" t="inlineStr">
        <is>
          <t>The evening DATAPREP closes</t>
        </is>
      </c>
      <c r="F21" s="51" t="n"/>
      <c r="G21" s="51" t="n"/>
      <c r="H21" s="52" t="n"/>
      <c r="I21" s="9">
        <f>IF((COUNTIF(Kiarra!$J:$J,"*;MS:"&amp;$A21&amp;";*")+COUNTIF(Hans!$J:$J,"*;MS:"&amp;$A21&amp;";*")+COUNTIF(Jertz!$J:$J,"*;MS:"&amp;$A21&amp;";*")+COUNTIF(Ysa!$J:$J,"*;MS:"&amp;$A21&amp;";*"))=0,"NOT SCHEDULED",IF((COUNTIFS(Kiarra!$J:$J,"*;MS:"&amp;$A21&amp;";*",Kiarra!$H:$H,"Done")+COUNTIFS(Hans!$J:$J,"*;MS:"&amp;$A21&amp;";*",Hans!$H:$H,"Done")+COUNTIFS(Jertz!$J:$J,"*;MS:"&amp;$A21&amp;";*",Jertz!$H:$H,"Done")+COUNTIFS(Ysa!$J:$J,"*;MS:"&amp;$A21&amp;";*",Ysa!$H:$H,"Done"))&gt;=(COUNTIF(Kiarra!$J:$J,"*;MS:"&amp;$A21&amp;";*")+COUNTIF(Hans!$J:$J,"*;MS:"&amp;$A21&amp;";*")+COUNTIF(Jertz!$J:$J,"*;MS:"&amp;$A21&amp;";*")+COUNTIF(Ysa!$J:$J,"*;MS:"&amp;$A21&amp;";*")),"Done",IF((COUNTIFS(Kiarra!$J:$J,"*;MS:"&amp;$A21&amp;";*",Kiarra!$H:$H,"Done")+COUNTIFS(Hans!$J:$J,"*;MS:"&amp;$A21&amp;";*",Hans!$H:$H,"Done")+COUNTIFS(Jertz!$J:$J,"*;MS:"&amp;$A21&amp;";*",Jertz!$H:$H,"Done")+COUNTIFS(Ysa!$J:$J,"*;MS:"&amp;$A21&amp;";*",Ysa!$H:$H,"Done"))&gt;0,"In progress","Not started")))</f>
        <v/>
      </c>
      <c r="K21" s="7" t="inlineStr">
        <is>
          <t>MOD-ANA</t>
        </is>
      </c>
      <c r="L21" s="15" t="n">
        <v>0.2849</v>
      </c>
      <c r="M21" s="15">
        <f>IF($I21="Done",0,$L21)</f>
        <v/>
      </c>
    </row>
    <row r="22">
      <c r="A22" s="27" t="inlineStr">
        <is>
          <t>ETL</t>
        </is>
      </c>
      <c r="B22" s="9" t="inlineStr">
        <is>
          <t>Document ETL pipeline design and flow</t>
        </is>
      </c>
      <c r="C22" s="52" t="n"/>
      <c r="D22" s="9" t="inlineStr">
        <is>
          <t>Hans</t>
        </is>
      </c>
      <c r="E22" s="9" t="inlineStr">
        <is>
          <t>The evening ETL closes</t>
        </is>
      </c>
      <c r="F22" s="51" t="n"/>
      <c r="G22" s="51" t="n"/>
      <c r="H22" s="52" t="n"/>
      <c r="I22" s="9">
        <f>IF((COUNTIF(Kiarra!$J:$J,"*;MS:"&amp;$A22&amp;";*")+COUNTIF(Hans!$J:$J,"*;MS:"&amp;$A22&amp;";*")+COUNTIF(Jertz!$J:$J,"*;MS:"&amp;$A22&amp;";*")+COUNTIF(Ysa!$J:$J,"*;MS:"&amp;$A22&amp;";*"))=0,"NOT SCHEDULED",IF((COUNTIFS(Kiarra!$J:$J,"*;MS:"&amp;$A22&amp;";*",Kiarra!$H:$H,"Done")+COUNTIFS(Hans!$J:$J,"*;MS:"&amp;$A22&amp;";*",Hans!$H:$H,"Done")+COUNTIFS(Jertz!$J:$J,"*;MS:"&amp;$A22&amp;";*",Jertz!$H:$H,"Done")+COUNTIFS(Ysa!$J:$J,"*;MS:"&amp;$A22&amp;";*",Ysa!$H:$H,"Done"))&gt;=(COUNTIF(Kiarra!$J:$J,"*;MS:"&amp;$A22&amp;";*")+COUNTIF(Hans!$J:$J,"*;MS:"&amp;$A22&amp;";*")+COUNTIF(Jertz!$J:$J,"*;MS:"&amp;$A22&amp;";*")+COUNTIF(Ysa!$J:$J,"*;MS:"&amp;$A22&amp;";*")),"Done",IF((COUNTIFS(Kiarra!$J:$J,"*;MS:"&amp;$A22&amp;";*",Kiarra!$H:$H,"Done")+COUNTIFS(Hans!$J:$J,"*;MS:"&amp;$A22&amp;";*",Hans!$H:$H,"Done")+COUNTIFS(Jertz!$J:$J,"*;MS:"&amp;$A22&amp;";*",Jertz!$H:$H,"Done")+COUNTIFS(Ysa!$J:$J,"*;MS:"&amp;$A22&amp;";*",Ysa!$H:$H,"Done"))&gt;0,"In progress","Not started")))</f>
        <v/>
      </c>
      <c r="K22" s="7" t="inlineStr">
        <is>
          <t>MOD-DB</t>
        </is>
      </c>
      <c r="L22" s="15" t="n">
        <v>0.1709</v>
      </c>
      <c r="M22" s="15">
        <f>IF($I22="Done",0,$L22)</f>
        <v/>
      </c>
    </row>
    <row r="23">
      <c r="A23" s="27" t="inlineStr">
        <is>
          <t>CACHE</t>
        </is>
      </c>
      <c r="B23" s="9" t="inlineStr">
        <is>
          <t>Document Redis cache and messaging setup</t>
        </is>
      </c>
      <c r="C23" s="52" t="n"/>
      <c r="D23" s="9" t="inlineStr">
        <is>
          <t>Hans</t>
        </is>
      </c>
      <c r="E23" s="9" t="inlineStr">
        <is>
          <t>The evening CACHE closes</t>
        </is>
      </c>
      <c r="F23" s="51" t="n"/>
      <c r="G23" s="51" t="n"/>
      <c r="H23" s="52" t="n"/>
      <c r="I23" s="9">
        <f>IF((COUNTIF(Kiarra!$J:$J,"*;MS:"&amp;$A23&amp;";*")+COUNTIF(Hans!$J:$J,"*;MS:"&amp;$A23&amp;";*")+COUNTIF(Jertz!$J:$J,"*;MS:"&amp;$A23&amp;";*")+COUNTIF(Ysa!$J:$J,"*;MS:"&amp;$A23&amp;";*"))=0,"NOT SCHEDULED",IF((COUNTIFS(Kiarra!$J:$J,"*;MS:"&amp;$A23&amp;";*",Kiarra!$H:$H,"Done")+COUNTIFS(Hans!$J:$J,"*;MS:"&amp;$A23&amp;";*",Hans!$H:$H,"Done")+COUNTIFS(Jertz!$J:$J,"*;MS:"&amp;$A23&amp;";*",Jertz!$H:$H,"Done")+COUNTIFS(Ysa!$J:$J,"*;MS:"&amp;$A23&amp;";*",Ysa!$H:$H,"Done"))&gt;=(COUNTIF(Kiarra!$J:$J,"*;MS:"&amp;$A23&amp;";*")+COUNTIF(Hans!$J:$J,"*;MS:"&amp;$A23&amp;";*")+COUNTIF(Jertz!$J:$J,"*;MS:"&amp;$A23&amp;";*")+COUNTIF(Ysa!$J:$J,"*;MS:"&amp;$A23&amp;";*")),"Done",IF((COUNTIFS(Kiarra!$J:$J,"*;MS:"&amp;$A23&amp;";*",Kiarra!$H:$H,"Done")+COUNTIFS(Hans!$J:$J,"*;MS:"&amp;$A23&amp;";*",Hans!$H:$H,"Done")+COUNTIFS(Jertz!$J:$J,"*;MS:"&amp;$A23&amp;";*",Jertz!$H:$H,"Done")+COUNTIFS(Ysa!$J:$J,"*;MS:"&amp;$A23&amp;";*",Ysa!$H:$H,"Done"))&gt;0,"In progress","Not started")))</f>
        <v/>
      </c>
      <c r="K23" s="7" t="inlineStr">
        <is>
          <t>MOD-DB</t>
        </is>
      </c>
      <c r="L23" s="15" t="n">
        <v>0.1709</v>
      </c>
      <c r="M23" s="15">
        <f>IF($I23="Done",0,$L23)</f>
        <v/>
      </c>
    </row>
    <row r="24">
      <c r="A24" s="27" t="inlineStr">
        <is>
          <t>CACHE</t>
        </is>
      </c>
      <c r="B24" s="9" t="inlineStr">
        <is>
          <t>Document model training results</t>
        </is>
      </c>
      <c r="C24" s="52" t="n"/>
      <c r="D24" s="9" t="inlineStr">
        <is>
          <t>Hans</t>
        </is>
      </c>
      <c r="E24" s="9" t="inlineStr">
        <is>
          <t>The evening CACHE closes</t>
        </is>
      </c>
      <c r="F24" s="51" t="n"/>
      <c r="G24" s="51" t="n"/>
      <c r="H24" s="52" t="n"/>
      <c r="I24" s="9">
        <f>IF((COUNTIF(Kiarra!$J:$J,"*;MS:"&amp;$A24&amp;";*")+COUNTIF(Hans!$J:$J,"*;MS:"&amp;$A24&amp;";*")+COUNTIF(Jertz!$J:$J,"*;MS:"&amp;$A24&amp;";*")+COUNTIF(Ysa!$J:$J,"*;MS:"&amp;$A24&amp;";*"))=0,"NOT SCHEDULED",IF((COUNTIFS(Kiarra!$J:$J,"*;MS:"&amp;$A24&amp;";*",Kiarra!$H:$H,"Done")+COUNTIFS(Hans!$J:$J,"*;MS:"&amp;$A24&amp;";*",Hans!$H:$H,"Done")+COUNTIFS(Jertz!$J:$J,"*;MS:"&amp;$A24&amp;";*",Jertz!$H:$H,"Done")+COUNTIFS(Ysa!$J:$J,"*;MS:"&amp;$A24&amp;";*",Ysa!$H:$H,"Done"))&gt;=(COUNTIF(Kiarra!$J:$J,"*;MS:"&amp;$A24&amp;";*")+COUNTIF(Hans!$J:$J,"*;MS:"&amp;$A24&amp;";*")+COUNTIF(Jertz!$J:$J,"*;MS:"&amp;$A24&amp;";*")+COUNTIF(Ysa!$J:$J,"*;MS:"&amp;$A24&amp;";*")),"Done",IF((COUNTIFS(Kiarra!$J:$J,"*;MS:"&amp;$A24&amp;";*",Kiarra!$H:$H,"Done")+COUNTIFS(Hans!$J:$J,"*;MS:"&amp;$A24&amp;";*",Hans!$H:$H,"Done")+COUNTIFS(Jertz!$J:$J,"*;MS:"&amp;$A24&amp;";*",Jertz!$H:$H,"Done")+COUNTIFS(Ysa!$J:$J,"*;MS:"&amp;$A24&amp;";*",Ysa!$H:$H,"Done"))&gt;0,"In progress","Not started")))</f>
        <v/>
      </c>
      <c r="K24" s="7" t="inlineStr">
        <is>
          <t>MOD-DB</t>
        </is>
      </c>
      <c r="L24" s="15" t="n">
        <v>0.1709</v>
      </c>
      <c r="M24" s="15">
        <f>IF($I24="Done",0,$L24)</f>
        <v/>
      </c>
    </row>
    <row r="25">
      <c r="A25" s="27" t="inlineStr">
        <is>
          <t>PRESCRIBE</t>
        </is>
      </c>
      <c r="B25" s="9" t="inlineStr">
        <is>
          <t>Document prescriptive models</t>
        </is>
      </c>
      <c r="C25" s="52" t="n"/>
      <c r="D25" s="9" t="inlineStr">
        <is>
          <t>Hans</t>
        </is>
      </c>
      <c r="E25" s="9" t="inlineStr">
        <is>
          <t>The evening PRESCRIBE closes</t>
        </is>
      </c>
      <c r="F25" s="51" t="n"/>
      <c r="G25" s="51" t="n"/>
      <c r="H25" s="52" t="n"/>
      <c r="I25" s="9">
        <f>IF((COUNTIF(Kiarra!$J:$J,"*;MS:"&amp;$A25&amp;";*")+COUNTIF(Hans!$J:$J,"*;MS:"&amp;$A25&amp;";*")+COUNTIF(Jertz!$J:$J,"*;MS:"&amp;$A25&amp;";*")+COUNTIF(Ysa!$J:$J,"*;MS:"&amp;$A25&amp;";*"))=0,"NOT SCHEDULED",IF((COUNTIFS(Kiarra!$J:$J,"*;MS:"&amp;$A25&amp;";*",Kiarra!$H:$H,"Done")+COUNTIFS(Hans!$J:$J,"*;MS:"&amp;$A25&amp;";*",Hans!$H:$H,"Done")+COUNTIFS(Jertz!$J:$J,"*;MS:"&amp;$A25&amp;";*",Jertz!$H:$H,"Done")+COUNTIFS(Ysa!$J:$J,"*;MS:"&amp;$A25&amp;";*",Ysa!$H:$H,"Done"))&gt;=(COUNTIF(Kiarra!$J:$J,"*;MS:"&amp;$A25&amp;";*")+COUNTIF(Hans!$J:$J,"*;MS:"&amp;$A25&amp;";*")+COUNTIF(Jertz!$J:$J,"*;MS:"&amp;$A25&amp;";*")+COUNTIF(Ysa!$J:$J,"*;MS:"&amp;$A25&amp;";*")),"Done",IF((COUNTIFS(Kiarra!$J:$J,"*;MS:"&amp;$A25&amp;";*",Kiarra!$H:$H,"Done")+COUNTIFS(Hans!$J:$J,"*;MS:"&amp;$A25&amp;";*",Hans!$H:$H,"Done")+COUNTIFS(Jertz!$J:$J,"*;MS:"&amp;$A25&amp;";*",Jertz!$H:$H,"Done")+COUNTIFS(Ysa!$J:$J,"*;MS:"&amp;$A25&amp;";*",Ysa!$H:$H,"Done"))&gt;0,"In progress","Not started")))</f>
        <v/>
      </c>
      <c r="K25" s="7" t="inlineStr">
        <is>
          <t>MOD-ANA</t>
        </is>
      </c>
      <c r="L25" s="15" t="n">
        <v>0.2849</v>
      </c>
      <c r="M25" s="15">
        <f>IF($I25="Done",0,$L25)</f>
        <v/>
      </c>
    </row>
    <row r="26">
      <c r="A26" s="27" t="inlineStr">
        <is>
          <t>INCIDENT</t>
        </is>
      </c>
      <c r="B26" s="9" t="inlineStr">
        <is>
          <t>Document incident API</t>
        </is>
      </c>
      <c r="C26" s="52" t="n"/>
      <c r="D26" s="9" t="inlineStr">
        <is>
          <t>Jertz</t>
        </is>
      </c>
      <c r="E26" s="9" t="inlineStr">
        <is>
          <t>The evening INCIDENT closes</t>
        </is>
      </c>
      <c r="F26" s="51" t="n"/>
      <c r="G26" s="51" t="n"/>
      <c r="H26" s="52" t="n"/>
      <c r="I26" s="9">
        <f>IF((COUNTIF(Kiarra!$J:$J,"*;MS:"&amp;$A26&amp;";*")+COUNTIF(Hans!$J:$J,"*;MS:"&amp;$A26&amp;";*")+COUNTIF(Jertz!$J:$J,"*;MS:"&amp;$A26&amp;";*")+COUNTIF(Ysa!$J:$J,"*;MS:"&amp;$A26&amp;";*"))=0,"NOT SCHEDULED",IF((COUNTIFS(Kiarra!$J:$J,"*;MS:"&amp;$A26&amp;";*",Kiarra!$H:$H,"Done")+COUNTIFS(Hans!$J:$J,"*;MS:"&amp;$A26&amp;";*",Hans!$H:$H,"Done")+COUNTIFS(Jertz!$J:$J,"*;MS:"&amp;$A26&amp;";*",Jertz!$H:$H,"Done")+COUNTIFS(Ysa!$J:$J,"*;MS:"&amp;$A26&amp;";*",Ysa!$H:$H,"Done"))&gt;=(COUNTIF(Kiarra!$J:$J,"*;MS:"&amp;$A26&amp;";*")+COUNTIF(Hans!$J:$J,"*;MS:"&amp;$A26&amp;";*")+COUNTIF(Jertz!$J:$J,"*;MS:"&amp;$A26&amp;";*")+COUNTIF(Ysa!$J:$J,"*;MS:"&amp;$A26&amp;";*")),"Done",IF((COUNTIFS(Kiarra!$J:$J,"*;MS:"&amp;$A26&amp;";*",Kiarra!$H:$H,"Done")+COUNTIFS(Hans!$J:$J,"*;MS:"&amp;$A26&amp;";*",Hans!$H:$H,"Done")+COUNTIFS(Jertz!$J:$J,"*;MS:"&amp;$A26&amp;";*",Jertz!$H:$H,"Done")+COUNTIFS(Ysa!$J:$J,"*;MS:"&amp;$A26&amp;";*",Ysa!$H:$H,"Done"))&gt;0,"In progress","Not started")))</f>
        <v/>
      </c>
      <c r="K26" s="7" t="inlineStr">
        <is>
          <t>MOD-BE</t>
        </is>
      </c>
      <c r="L26" s="15" t="n">
        <v>0.3663</v>
      </c>
      <c r="M26" s="15">
        <f>IF($I26="Done",0,$L26)</f>
        <v/>
      </c>
    </row>
    <row r="27">
      <c r="A27" s="27" t="inlineStr">
        <is>
          <t>INCIDENTDESC</t>
        </is>
      </c>
      <c r="B27" s="9" t="inlineStr">
        <is>
          <t>Document incident descriptive analytics</t>
        </is>
      </c>
      <c r="C27" s="52" t="n"/>
      <c r="D27" s="9" t="inlineStr">
        <is>
          <t>Jertz</t>
        </is>
      </c>
      <c r="E27" s="9" t="inlineStr">
        <is>
          <t>The evening INCIDENTDESC closes</t>
        </is>
      </c>
      <c r="F27" s="51" t="n"/>
      <c r="G27" s="51" t="n"/>
      <c r="H27" s="52" t="n"/>
      <c r="I27" s="9">
        <f>IF((COUNTIF(Kiarra!$J:$J,"*;MS:"&amp;$A27&amp;";*")+COUNTIF(Hans!$J:$J,"*;MS:"&amp;$A27&amp;";*")+COUNTIF(Jertz!$J:$J,"*;MS:"&amp;$A27&amp;";*")+COUNTIF(Ysa!$J:$J,"*;MS:"&amp;$A27&amp;";*"))=0,"NOT SCHEDULED",IF((COUNTIFS(Kiarra!$J:$J,"*;MS:"&amp;$A27&amp;";*",Kiarra!$H:$H,"Done")+COUNTIFS(Hans!$J:$J,"*;MS:"&amp;$A27&amp;";*",Hans!$H:$H,"Done")+COUNTIFS(Jertz!$J:$J,"*;MS:"&amp;$A27&amp;";*",Jertz!$H:$H,"Done")+COUNTIFS(Ysa!$J:$J,"*;MS:"&amp;$A27&amp;";*",Ysa!$H:$H,"Done"))&gt;=(COUNTIF(Kiarra!$J:$J,"*;MS:"&amp;$A27&amp;";*")+COUNTIF(Hans!$J:$J,"*;MS:"&amp;$A27&amp;";*")+COUNTIF(Jertz!$J:$J,"*;MS:"&amp;$A27&amp;";*")+COUNTIF(Ysa!$J:$J,"*;MS:"&amp;$A27&amp;";*")),"Done",IF((COUNTIFS(Kiarra!$J:$J,"*;MS:"&amp;$A27&amp;";*",Kiarra!$H:$H,"Done")+COUNTIFS(Hans!$J:$J,"*;MS:"&amp;$A27&amp;";*",Hans!$H:$H,"Done")+COUNTIFS(Jertz!$J:$J,"*;MS:"&amp;$A27&amp;";*",Jertz!$H:$H,"Done")+COUNTIFS(Ysa!$J:$J,"*;MS:"&amp;$A27&amp;";*",Ysa!$H:$H,"Done"))&gt;0,"In progress","Not started")))</f>
        <v/>
      </c>
      <c r="K27" s="7" t="inlineStr">
        <is>
          <t>MOD-ANA</t>
        </is>
      </c>
      <c r="L27" s="15" t="n">
        <v>0.2849</v>
      </c>
      <c r="M27" s="15">
        <f>IF($I27="Done",0,$L27)</f>
        <v/>
      </c>
    </row>
    <row r="28">
      <c r="A28" s="27" t="inlineStr">
        <is>
          <t>INCIDENTFC</t>
        </is>
      </c>
      <c r="B28" s="9" t="inlineStr">
        <is>
          <t>Document incident prediction model</t>
        </is>
      </c>
      <c r="C28" s="52" t="n"/>
      <c r="D28" s="9" t="inlineStr">
        <is>
          <t>Jertz</t>
        </is>
      </c>
      <c r="E28" s="9" t="inlineStr">
        <is>
          <t>The evening INCIDENTFC closes</t>
        </is>
      </c>
      <c r="F28" s="51" t="n"/>
      <c r="G28" s="51" t="n"/>
      <c r="H28" s="52" t="n"/>
      <c r="I28" s="9">
        <f>IF((COUNTIF(Kiarra!$J:$J,"*;MS:"&amp;$A28&amp;";*")+COUNTIF(Hans!$J:$J,"*;MS:"&amp;$A28&amp;";*")+COUNTIF(Jertz!$J:$J,"*;MS:"&amp;$A28&amp;";*")+COUNTIF(Ysa!$J:$J,"*;MS:"&amp;$A28&amp;";*"))=0,"NOT SCHEDULED",IF((COUNTIFS(Kiarra!$J:$J,"*;MS:"&amp;$A28&amp;";*",Kiarra!$H:$H,"Done")+COUNTIFS(Hans!$J:$J,"*;MS:"&amp;$A28&amp;";*",Hans!$H:$H,"Done")+COUNTIFS(Jertz!$J:$J,"*;MS:"&amp;$A28&amp;";*",Jertz!$H:$H,"Done")+COUNTIFS(Ysa!$J:$J,"*;MS:"&amp;$A28&amp;";*",Ysa!$H:$H,"Done"))&gt;=(COUNTIF(Kiarra!$J:$J,"*;MS:"&amp;$A28&amp;";*")+COUNTIF(Hans!$J:$J,"*;MS:"&amp;$A28&amp;";*")+COUNTIF(Jertz!$J:$J,"*;MS:"&amp;$A28&amp;";*")+COUNTIF(Ysa!$J:$J,"*;MS:"&amp;$A28&amp;";*")),"Done",IF((COUNTIFS(Kiarra!$J:$J,"*;MS:"&amp;$A28&amp;";*",Kiarra!$H:$H,"Done")+COUNTIFS(Hans!$J:$J,"*;MS:"&amp;$A28&amp;";*",Hans!$H:$H,"Done")+COUNTIFS(Jertz!$J:$J,"*;MS:"&amp;$A28&amp;";*",Jertz!$H:$H,"Done")+COUNTIFS(Ysa!$J:$J,"*;MS:"&amp;$A28&amp;";*",Ysa!$H:$H,"Done"))&gt;0,"In progress","Not started")))</f>
        <v/>
      </c>
      <c r="K28" s="7" t="inlineStr">
        <is>
          <t>MOD-ANA</t>
        </is>
      </c>
      <c r="L28" s="15" t="n">
        <v>0.2849</v>
      </c>
      <c r="M28" s="15">
        <f>IF($I28="Done",0,$L28)</f>
        <v/>
      </c>
    </row>
    <row r="29">
      <c r="A29" s="27" t="inlineStr">
        <is>
          <t>MAPCOMP</t>
        </is>
      </c>
      <c r="B29" s="9" t="inlineStr">
        <is>
          <t>Document map comparison API</t>
        </is>
      </c>
      <c r="C29" s="52" t="n"/>
      <c r="D29" s="9" t="inlineStr">
        <is>
          <t>Jertz</t>
        </is>
      </c>
      <c r="E29" s="9" t="inlineStr">
        <is>
          <t>The evening MAPCOMP closes</t>
        </is>
      </c>
      <c r="F29" s="51" t="n"/>
      <c r="G29" s="51" t="n"/>
      <c r="H29" s="52" t="n"/>
      <c r="I29" s="9">
        <f>IF((COUNTIF(Kiarra!$J:$J,"*;MS:"&amp;$A29&amp;";*")+COUNTIF(Hans!$J:$J,"*;MS:"&amp;$A29&amp;";*")+COUNTIF(Jertz!$J:$J,"*;MS:"&amp;$A29&amp;";*")+COUNTIF(Ysa!$J:$J,"*;MS:"&amp;$A29&amp;";*"))=0,"NOT SCHEDULED",IF((COUNTIFS(Kiarra!$J:$J,"*;MS:"&amp;$A29&amp;";*",Kiarra!$H:$H,"Done")+COUNTIFS(Hans!$J:$J,"*;MS:"&amp;$A29&amp;";*",Hans!$H:$H,"Done")+COUNTIFS(Jertz!$J:$J,"*;MS:"&amp;$A29&amp;";*",Jertz!$H:$H,"Done")+COUNTIFS(Ysa!$J:$J,"*;MS:"&amp;$A29&amp;";*",Ysa!$H:$H,"Done"))&gt;=(COUNTIF(Kiarra!$J:$J,"*;MS:"&amp;$A29&amp;";*")+COUNTIF(Hans!$J:$J,"*;MS:"&amp;$A29&amp;";*")+COUNTIF(Jertz!$J:$J,"*;MS:"&amp;$A29&amp;";*")+COUNTIF(Ysa!$J:$J,"*;MS:"&amp;$A29&amp;";*")),"Done",IF((COUNTIFS(Kiarra!$J:$J,"*;MS:"&amp;$A29&amp;";*",Kiarra!$H:$H,"Done")+COUNTIFS(Hans!$J:$J,"*;MS:"&amp;$A29&amp;";*",Hans!$H:$H,"Done")+COUNTIFS(Jertz!$J:$J,"*;MS:"&amp;$A29&amp;";*",Jertz!$H:$H,"Done")+COUNTIFS(Ysa!$J:$J,"*;MS:"&amp;$A29&amp;";*",Ysa!$H:$H,"Done"))&gt;0,"In progress","Not started")))</f>
        <v/>
      </c>
      <c r="K29" s="7" t="inlineStr">
        <is>
          <t>MOD-BE</t>
        </is>
      </c>
      <c r="L29" s="15" t="n">
        <v>0.3663</v>
      </c>
      <c r="M29" s="15">
        <f>IF($I29="Done",0,$L29)</f>
        <v/>
      </c>
    </row>
    <row r="30">
      <c r="A30" s="27" t="inlineStr">
        <is>
          <t>AUTH</t>
        </is>
      </c>
      <c r="B30" s="9" t="inlineStr">
        <is>
          <t>Document authentication flow</t>
        </is>
      </c>
      <c r="C30" s="52" t="n"/>
      <c r="D30" s="9" t="inlineStr">
        <is>
          <t>Kiarra</t>
        </is>
      </c>
      <c r="E30" s="9" t="inlineStr">
        <is>
          <t>The evening AUTH closes</t>
        </is>
      </c>
      <c r="F30" s="51" t="n"/>
      <c r="G30" s="51" t="n"/>
      <c r="H30" s="52" t="n"/>
      <c r="I30" s="9">
        <f>IF((COUNTIF(Kiarra!$J:$J,"*;MS:"&amp;$A30&amp;";*")+COUNTIF(Hans!$J:$J,"*;MS:"&amp;$A30&amp;";*")+COUNTIF(Jertz!$J:$J,"*;MS:"&amp;$A30&amp;";*")+COUNTIF(Ysa!$J:$J,"*;MS:"&amp;$A30&amp;";*"))=0,"NOT SCHEDULED",IF((COUNTIFS(Kiarra!$J:$J,"*;MS:"&amp;$A30&amp;";*",Kiarra!$H:$H,"Done")+COUNTIFS(Hans!$J:$J,"*;MS:"&amp;$A30&amp;";*",Hans!$H:$H,"Done")+COUNTIFS(Jertz!$J:$J,"*;MS:"&amp;$A30&amp;";*",Jertz!$H:$H,"Done")+COUNTIFS(Ysa!$J:$J,"*;MS:"&amp;$A30&amp;";*",Ysa!$H:$H,"Done"))&gt;=(COUNTIF(Kiarra!$J:$J,"*;MS:"&amp;$A30&amp;";*")+COUNTIF(Hans!$J:$J,"*;MS:"&amp;$A30&amp;";*")+COUNTIF(Jertz!$J:$J,"*;MS:"&amp;$A30&amp;";*")+COUNTIF(Ysa!$J:$J,"*;MS:"&amp;$A30&amp;";*")),"Done",IF((COUNTIFS(Kiarra!$J:$J,"*;MS:"&amp;$A30&amp;";*",Kiarra!$H:$H,"Done")+COUNTIFS(Hans!$J:$J,"*;MS:"&amp;$A30&amp;";*",Hans!$H:$H,"Done")+COUNTIFS(Jertz!$J:$J,"*;MS:"&amp;$A30&amp;";*",Jertz!$H:$H,"Done")+COUNTIFS(Ysa!$J:$J,"*;MS:"&amp;$A30&amp;";*",Ysa!$H:$H,"Done"))&gt;0,"In progress","Not started")))</f>
        <v/>
      </c>
      <c r="K30" s="7" t="inlineStr">
        <is>
          <t>MOD-FE</t>
        </is>
      </c>
      <c r="L30" s="15" t="n">
        <v>0.5769</v>
      </c>
      <c r="M30" s="15">
        <f>IF($I30="Done",0,$L30)</f>
        <v/>
      </c>
    </row>
    <row r="31">
      <c r="A31" s="27" t="inlineStr">
        <is>
          <t>MAINT</t>
        </is>
      </c>
      <c r="B31" s="9" t="inlineStr">
        <is>
          <t>Document maintenance API</t>
        </is>
      </c>
      <c r="C31" s="52" t="n"/>
      <c r="D31" s="9" t="inlineStr">
        <is>
          <t>Kiarra</t>
        </is>
      </c>
      <c r="E31" s="9" t="inlineStr">
        <is>
          <t>The evening MAINT closes</t>
        </is>
      </c>
      <c r="F31" s="51" t="n"/>
      <c r="G31" s="51" t="n"/>
      <c r="H31" s="52" t="n"/>
      <c r="I31" s="9">
        <f>IF((COUNTIF(Kiarra!$J:$J,"*;MS:"&amp;$A31&amp;";*")+COUNTIF(Hans!$J:$J,"*;MS:"&amp;$A31&amp;";*")+COUNTIF(Jertz!$J:$J,"*;MS:"&amp;$A31&amp;";*")+COUNTIF(Ysa!$J:$J,"*;MS:"&amp;$A31&amp;";*"))=0,"NOT SCHEDULED",IF((COUNTIFS(Kiarra!$J:$J,"*;MS:"&amp;$A31&amp;";*",Kiarra!$H:$H,"Done")+COUNTIFS(Hans!$J:$J,"*;MS:"&amp;$A31&amp;";*",Hans!$H:$H,"Done")+COUNTIFS(Jertz!$J:$J,"*;MS:"&amp;$A31&amp;";*",Jertz!$H:$H,"Done")+COUNTIFS(Ysa!$J:$J,"*;MS:"&amp;$A31&amp;";*",Ysa!$H:$H,"Done"))&gt;=(COUNTIF(Kiarra!$J:$J,"*;MS:"&amp;$A31&amp;";*")+COUNTIF(Hans!$J:$J,"*;MS:"&amp;$A31&amp;";*")+COUNTIF(Jertz!$J:$J,"*;MS:"&amp;$A31&amp;";*")+COUNTIF(Ysa!$J:$J,"*;MS:"&amp;$A31&amp;";*")),"Done",IF((COUNTIFS(Kiarra!$J:$J,"*;MS:"&amp;$A31&amp;";*",Kiarra!$H:$H,"Done")+COUNTIFS(Hans!$J:$J,"*;MS:"&amp;$A31&amp;";*",Hans!$H:$H,"Done")+COUNTIFS(Jertz!$J:$J,"*;MS:"&amp;$A31&amp;";*",Jertz!$H:$H,"Done")+COUNTIFS(Ysa!$J:$J,"*;MS:"&amp;$A31&amp;";*",Ysa!$H:$H,"Done"))&gt;0,"In progress","Not started")))</f>
        <v/>
      </c>
      <c r="K31" s="7" t="inlineStr">
        <is>
          <t>MOD-BE</t>
        </is>
      </c>
      <c r="L31" s="15" t="n">
        <v>0.3663</v>
      </c>
      <c r="M31" s="15">
        <f>IF($I31="Done",0,$L31)</f>
        <v/>
      </c>
    </row>
    <row r="32">
      <c r="A32" s="27" t="inlineStr">
        <is>
          <t>DATAUP</t>
        </is>
      </c>
      <c r="B32" s="9" t="inlineStr">
        <is>
          <t>Document Data Management page in Chapter 4</t>
        </is>
      </c>
      <c r="C32" s="52" t="n"/>
      <c r="D32" s="9" t="inlineStr">
        <is>
          <t>Kiarra</t>
        </is>
      </c>
      <c r="E32" s="9" t="inlineStr">
        <is>
          <t>The evening DATAUP closes</t>
        </is>
      </c>
      <c r="F32" s="51" t="n"/>
      <c r="G32" s="51" t="n"/>
      <c r="H32" s="52" t="n"/>
      <c r="I32" s="9">
        <f>IF((COUNTIF(Kiarra!$J:$J,"*;MS:"&amp;$A32&amp;";*")+COUNTIF(Hans!$J:$J,"*;MS:"&amp;$A32&amp;";*")+COUNTIF(Jertz!$J:$J,"*;MS:"&amp;$A32&amp;";*")+COUNTIF(Ysa!$J:$J,"*;MS:"&amp;$A32&amp;";*"))=0,"NOT SCHEDULED",IF((COUNTIFS(Kiarra!$J:$J,"*;MS:"&amp;$A32&amp;";*",Kiarra!$H:$H,"Done")+COUNTIFS(Hans!$J:$J,"*;MS:"&amp;$A32&amp;";*",Hans!$H:$H,"Done")+COUNTIFS(Jertz!$J:$J,"*;MS:"&amp;$A32&amp;";*",Jertz!$H:$H,"Done")+COUNTIFS(Ysa!$J:$J,"*;MS:"&amp;$A32&amp;";*",Ysa!$H:$H,"Done"))&gt;=(COUNTIF(Kiarra!$J:$J,"*;MS:"&amp;$A32&amp;";*")+COUNTIF(Hans!$J:$J,"*;MS:"&amp;$A32&amp;";*")+COUNTIF(Jertz!$J:$J,"*;MS:"&amp;$A32&amp;";*")+COUNTIF(Ysa!$J:$J,"*;MS:"&amp;$A32&amp;";*")),"Done",IF((COUNTIFS(Kiarra!$J:$J,"*;MS:"&amp;$A32&amp;";*",Kiarra!$H:$H,"Done")+COUNTIFS(Hans!$J:$J,"*;MS:"&amp;$A32&amp;";*",Hans!$H:$H,"Done")+COUNTIFS(Jertz!$J:$J,"*;MS:"&amp;$A32&amp;";*",Jertz!$H:$H,"Done")+COUNTIFS(Ysa!$J:$J,"*;MS:"&amp;$A32&amp;";*",Ysa!$H:$H,"Done"))&gt;0,"In progress","Not started")))</f>
        <v/>
      </c>
      <c r="K32" s="7" t="inlineStr">
        <is>
          <t>MOD-FE</t>
        </is>
      </c>
      <c r="L32" s="15" t="n">
        <v>0.5769</v>
      </c>
      <c r="M32" s="15">
        <f>IF($I32="Done",0,$L32)</f>
        <v/>
      </c>
    </row>
    <row r="33">
      <c r="A33" s="27" t="inlineStr">
        <is>
          <t>UIUX</t>
        </is>
      </c>
      <c r="B33" s="9" t="inlineStr">
        <is>
          <t>Document UI/UX design system</t>
        </is>
      </c>
      <c r="C33" s="52" t="n"/>
      <c r="D33" s="9" t="inlineStr">
        <is>
          <t>Kiarra</t>
        </is>
      </c>
      <c r="E33" s="9" t="inlineStr">
        <is>
          <t>The evening UIUX closes</t>
        </is>
      </c>
      <c r="F33" s="51" t="n"/>
      <c r="G33" s="51" t="n"/>
      <c r="H33" s="52" t="n"/>
      <c r="I33" s="9">
        <f>IF((COUNTIF(Kiarra!$J:$J,"*;MS:"&amp;$A33&amp;";*")+COUNTIF(Hans!$J:$J,"*;MS:"&amp;$A33&amp;";*")+COUNTIF(Jertz!$J:$J,"*;MS:"&amp;$A33&amp;";*")+COUNTIF(Ysa!$J:$J,"*;MS:"&amp;$A33&amp;";*"))=0,"NOT SCHEDULED",IF((COUNTIFS(Kiarra!$J:$J,"*;MS:"&amp;$A33&amp;";*",Kiarra!$H:$H,"Done")+COUNTIFS(Hans!$J:$J,"*;MS:"&amp;$A33&amp;";*",Hans!$H:$H,"Done")+COUNTIFS(Jertz!$J:$J,"*;MS:"&amp;$A33&amp;";*",Jertz!$H:$H,"Done")+COUNTIFS(Ysa!$J:$J,"*;MS:"&amp;$A33&amp;";*",Ysa!$H:$H,"Done"))&gt;=(COUNTIF(Kiarra!$J:$J,"*;MS:"&amp;$A33&amp;";*")+COUNTIF(Hans!$J:$J,"*;MS:"&amp;$A33&amp;";*")+COUNTIF(Jertz!$J:$J,"*;MS:"&amp;$A33&amp;";*")+COUNTIF(Ysa!$J:$J,"*;MS:"&amp;$A33&amp;";*")),"Done",IF((COUNTIFS(Kiarra!$J:$J,"*;MS:"&amp;$A33&amp;";*",Kiarra!$H:$H,"Done")+COUNTIFS(Hans!$J:$J,"*;MS:"&amp;$A33&amp;";*",Hans!$H:$H,"Done")+COUNTIFS(Jertz!$J:$J,"*;MS:"&amp;$A33&amp;";*",Jertz!$H:$H,"Done")+COUNTIFS(Ysa!$J:$J,"*;MS:"&amp;$A33&amp;";*",Ysa!$H:$H,"Done"))&gt;0,"In progress","Not started")))</f>
        <v/>
      </c>
      <c r="K33" s="7" t="inlineStr">
        <is>
          <t>MOD-FE</t>
        </is>
      </c>
      <c r="L33" s="15" t="n">
        <v>0.5769</v>
      </c>
      <c r="M33" s="15">
        <f>IF($I33="Done",0,$L33)</f>
        <v/>
      </c>
    </row>
    <row r="34">
      <c r="A34" s="27" t="inlineStr">
        <is>
          <t>HOST</t>
        </is>
      </c>
      <c r="B34" s="9" t="inlineStr">
        <is>
          <t>Document hosting and deployment setup</t>
        </is>
      </c>
      <c r="C34" s="52" t="n"/>
      <c r="D34" s="9" t="inlineStr">
        <is>
          <t>Kiarra</t>
        </is>
      </c>
      <c r="E34" s="9" t="inlineStr">
        <is>
          <t>The evening HOST closes</t>
        </is>
      </c>
      <c r="F34" s="51" t="n"/>
      <c r="G34" s="51" t="n"/>
      <c r="H34" s="52" t="n"/>
      <c r="I34" s="9">
        <f>IF((COUNTIF(Kiarra!$J:$J,"*;MS:"&amp;$A34&amp;";*")+COUNTIF(Hans!$J:$J,"*;MS:"&amp;$A34&amp;";*")+COUNTIF(Jertz!$J:$J,"*;MS:"&amp;$A34&amp;";*")+COUNTIF(Ysa!$J:$J,"*;MS:"&amp;$A34&amp;";*"))=0,"NOT SCHEDULED",IF((COUNTIFS(Kiarra!$J:$J,"*;MS:"&amp;$A34&amp;";*",Kiarra!$H:$H,"Done")+COUNTIFS(Hans!$J:$J,"*;MS:"&amp;$A34&amp;";*",Hans!$H:$H,"Done")+COUNTIFS(Jertz!$J:$J,"*;MS:"&amp;$A34&amp;";*",Jertz!$H:$H,"Done")+COUNTIFS(Ysa!$J:$J,"*;MS:"&amp;$A34&amp;";*",Ysa!$H:$H,"Done"))&gt;=(COUNTIF(Kiarra!$J:$J,"*;MS:"&amp;$A34&amp;";*")+COUNTIF(Hans!$J:$J,"*;MS:"&amp;$A34&amp;";*")+COUNTIF(Jertz!$J:$J,"*;MS:"&amp;$A34&amp;";*")+COUNTIF(Ysa!$J:$J,"*;MS:"&amp;$A34&amp;";*")),"Done",IF((COUNTIFS(Kiarra!$J:$J,"*;MS:"&amp;$A34&amp;";*",Kiarra!$H:$H,"Done")+COUNTIFS(Hans!$J:$J,"*;MS:"&amp;$A34&amp;";*",Hans!$H:$H,"Done")+COUNTIFS(Jertz!$J:$J,"*;MS:"&amp;$A34&amp;";*",Jertz!$H:$H,"Done")+COUNTIFS(Ysa!$J:$J,"*;MS:"&amp;$A34&amp;";*",Ysa!$H:$H,"Done"))&gt;0,"In progress","Not started")))</f>
        <v/>
      </c>
      <c r="K34" s="7" t="inlineStr">
        <is>
          <t>CORE</t>
        </is>
      </c>
      <c r="L34" s="15" t="n">
        <v>0.5983000000000001</v>
      </c>
      <c r="M34" s="15">
        <f>IF($I34="Done",0,$L34)</f>
        <v/>
      </c>
    </row>
    <row r="35">
      <c r="A35" s="27" t="inlineStr">
        <is>
          <t>REPO</t>
        </is>
      </c>
      <c r="B35" s="9" t="inlineStr">
        <is>
          <t>Document repository and branching strategy</t>
        </is>
      </c>
      <c r="C35" s="52" t="n"/>
      <c r="D35" s="9" t="inlineStr">
        <is>
          <t>Kiarra</t>
        </is>
      </c>
      <c r="E35" s="9" t="inlineStr">
        <is>
          <t>The evening REPO closes</t>
        </is>
      </c>
      <c r="F35" s="51" t="n"/>
      <c r="G35" s="51" t="n"/>
      <c r="H35" s="52" t="n"/>
      <c r="I35" s="9">
        <f>IF((COUNTIF(Kiarra!$J:$J,"*;MS:"&amp;$A35&amp;";*")+COUNTIF(Hans!$J:$J,"*;MS:"&amp;$A35&amp;";*")+COUNTIF(Jertz!$J:$J,"*;MS:"&amp;$A35&amp;";*")+COUNTIF(Ysa!$J:$J,"*;MS:"&amp;$A35&amp;";*"))=0,"NOT SCHEDULED",IF((COUNTIFS(Kiarra!$J:$J,"*;MS:"&amp;$A35&amp;";*",Kiarra!$H:$H,"Done")+COUNTIFS(Hans!$J:$J,"*;MS:"&amp;$A35&amp;";*",Hans!$H:$H,"Done")+COUNTIFS(Jertz!$J:$J,"*;MS:"&amp;$A35&amp;";*",Jertz!$H:$H,"Done")+COUNTIFS(Ysa!$J:$J,"*;MS:"&amp;$A35&amp;";*",Ysa!$H:$H,"Done"))&gt;=(COUNTIF(Kiarra!$J:$J,"*;MS:"&amp;$A35&amp;";*")+COUNTIF(Hans!$J:$J,"*;MS:"&amp;$A35&amp;";*")+COUNTIF(Jertz!$J:$J,"*;MS:"&amp;$A35&amp;";*")+COUNTIF(Ysa!$J:$J,"*;MS:"&amp;$A35&amp;";*")),"Done",IF((COUNTIFS(Kiarra!$J:$J,"*;MS:"&amp;$A35&amp;";*",Kiarra!$H:$H,"Done")+COUNTIFS(Hans!$J:$J,"*;MS:"&amp;$A35&amp;";*",Hans!$H:$H,"Done")+COUNTIFS(Jertz!$J:$J,"*;MS:"&amp;$A35&amp;";*",Jertz!$H:$H,"Done")+COUNTIFS(Ysa!$J:$J,"*;MS:"&amp;$A35&amp;";*",Ysa!$H:$H,"Done"))&gt;0,"In progress","Not started")))</f>
        <v/>
      </c>
      <c r="K35" s="7" t="inlineStr">
        <is>
          <t>CORE</t>
        </is>
      </c>
      <c r="L35" s="15" t="n">
        <v>0.5983000000000001</v>
      </c>
      <c r="M35" s="15">
        <f>IF($I35="Done",0,$L35)</f>
        <v/>
      </c>
    </row>
    <row r="36">
      <c r="A36" s="27" t="inlineStr">
        <is>
          <t>ENV</t>
        </is>
      </c>
      <c r="B36" s="9" t="inlineStr">
        <is>
          <t>Document environment configuration</t>
        </is>
      </c>
      <c r="C36" s="52" t="n"/>
      <c r="D36" s="9" t="inlineStr">
        <is>
          <t>Kiarra</t>
        </is>
      </c>
      <c r="E36" s="9" t="inlineStr">
        <is>
          <t>The evening ENV closes</t>
        </is>
      </c>
      <c r="F36" s="51" t="n"/>
      <c r="G36" s="51" t="n"/>
      <c r="H36" s="52" t="n"/>
      <c r="I36" s="9">
        <f>IF((COUNTIF(Kiarra!$J:$J,"*;MS:"&amp;$A36&amp;";*")+COUNTIF(Hans!$J:$J,"*;MS:"&amp;$A36&amp;";*")+COUNTIF(Jertz!$J:$J,"*;MS:"&amp;$A36&amp;";*")+COUNTIF(Ysa!$J:$J,"*;MS:"&amp;$A36&amp;";*"))=0,"NOT SCHEDULED",IF((COUNTIFS(Kiarra!$J:$J,"*;MS:"&amp;$A36&amp;";*",Kiarra!$H:$H,"Done")+COUNTIFS(Hans!$J:$J,"*;MS:"&amp;$A36&amp;";*",Hans!$H:$H,"Done")+COUNTIFS(Jertz!$J:$J,"*;MS:"&amp;$A36&amp;";*",Jertz!$H:$H,"Done")+COUNTIFS(Ysa!$J:$J,"*;MS:"&amp;$A36&amp;";*",Ysa!$H:$H,"Done"))&gt;=(COUNTIF(Kiarra!$J:$J,"*;MS:"&amp;$A36&amp;";*")+COUNTIF(Hans!$J:$J,"*;MS:"&amp;$A36&amp;";*")+COUNTIF(Jertz!$J:$J,"*;MS:"&amp;$A36&amp;";*")+COUNTIF(Ysa!$J:$J,"*;MS:"&amp;$A36&amp;";*")),"Done",IF((COUNTIFS(Kiarra!$J:$J,"*;MS:"&amp;$A36&amp;";*",Kiarra!$H:$H,"Done")+COUNTIFS(Hans!$J:$J,"*;MS:"&amp;$A36&amp;";*",Hans!$H:$H,"Done")+COUNTIFS(Jertz!$J:$J,"*;MS:"&amp;$A36&amp;";*",Jertz!$H:$H,"Done")+COUNTIFS(Ysa!$J:$J,"*;MS:"&amp;$A36&amp;";*",Ysa!$H:$H,"Done"))&gt;0,"In progress","Not started")))</f>
        <v/>
      </c>
      <c r="K36" s="7" t="inlineStr">
        <is>
          <t>CORE</t>
        </is>
      </c>
      <c r="L36" s="15" t="n">
        <v>0.5983000000000001</v>
      </c>
      <c r="M36" s="15">
        <f>IF($I36="Done",0,$L36)</f>
        <v/>
      </c>
    </row>
    <row r="37">
      <c r="A37" s="27" t="inlineStr">
        <is>
          <t>SANDBOX</t>
        </is>
      </c>
      <c r="B37" s="9" t="inlineStr">
        <is>
          <t>Document AI sandbox API</t>
        </is>
      </c>
      <c r="C37" s="52" t="n"/>
      <c r="D37" s="9" t="inlineStr">
        <is>
          <t>Ysa</t>
        </is>
      </c>
      <c r="E37" s="9" t="inlineStr">
        <is>
          <t>The evening SANDBOX closes</t>
        </is>
      </c>
      <c r="F37" s="51" t="n"/>
      <c r="G37" s="51" t="n"/>
      <c r="H37" s="52" t="n"/>
      <c r="I37" s="9">
        <f>IF((COUNTIF(Kiarra!$J:$J,"*;MS:"&amp;$A37&amp;";*")+COUNTIF(Hans!$J:$J,"*;MS:"&amp;$A37&amp;";*")+COUNTIF(Jertz!$J:$J,"*;MS:"&amp;$A37&amp;";*")+COUNTIF(Ysa!$J:$J,"*;MS:"&amp;$A37&amp;";*"))=0,"NOT SCHEDULED",IF((COUNTIFS(Kiarra!$J:$J,"*;MS:"&amp;$A37&amp;";*",Kiarra!$H:$H,"Done")+COUNTIFS(Hans!$J:$J,"*;MS:"&amp;$A37&amp;";*",Hans!$H:$H,"Done")+COUNTIFS(Jertz!$J:$J,"*;MS:"&amp;$A37&amp;";*",Jertz!$H:$H,"Done")+COUNTIFS(Ysa!$J:$J,"*;MS:"&amp;$A37&amp;";*",Ysa!$H:$H,"Done"))&gt;=(COUNTIF(Kiarra!$J:$J,"*;MS:"&amp;$A37&amp;";*")+COUNTIF(Hans!$J:$J,"*;MS:"&amp;$A37&amp;";*")+COUNTIF(Jertz!$J:$J,"*;MS:"&amp;$A37&amp;";*")+COUNTIF(Ysa!$J:$J,"*;MS:"&amp;$A37&amp;";*")),"Done",IF((COUNTIFS(Kiarra!$J:$J,"*;MS:"&amp;$A37&amp;";*",Kiarra!$H:$H,"Done")+COUNTIFS(Hans!$J:$J,"*;MS:"&amp;$A37&amp;";*",Hans!$H:$H,"Done")+COUNTIFS(Jertz!$J:$J,"*;MS:"&amp;$A37&amp;";*",Jertz!$H:$H,"Done")+COUNTIFS(Ysa!$J:$J,"*;MS:"&amp;$A37&amp;";*",Ysa!$H:$H,"Done"))&gt;0,"In progress","Not started")))</f>
        <v/>
      </c>
      <c r="K37" s="7" t="inlineStr">
        <is>
          <t>MOD-BE</t>
        </is>
      </c>
      <c r="L37" s="15" t="n">
        <v>0.3663</v>
      </c>
      <c r="M37" s="15">
        <f>IF($I37="Done",0,$L37)</f>
        <v/>
      </c>
    </row>
    <row r="38">
      <c r="A38" s="27" t="inlineStr">
        <is>
          <t>AGENT</t>
        </is>
      </c>
      <c r="B38" s="9" t="inlineStr">
        <is>
          <t>Document agent-based simulation (Hans with Jertz)</t>
        </is>
      </c>
      <c r="C38" s="52" t="n"/>
      <c r="D38" s="9" t="inlineStr">
        <is>
          <t>Hans</t>
        </is>
      </c>
      <c r="E38" s="9" t="inlineStr">
        <is>
          <t>The evening AGENT closes</t>
        </is>
      </c>
      <c r="F38" s="51" t="n"/>
      <c r="G38" s="51" t="n"/>
      <c r="H38" s="52" t="n"/>
      <c r="I38" s="9">
        <f>IF((COUNTIF(Kiarra!$J:$J,"*;MS:"&amp;$A38&amp;";*")+COUNTIF(Hans!$J:$J,"*;MS:"&amp;$A38&amp;";*")+COUNTIF(Jertz!$J:$J,"*;MS:"&amp;$A38&amp;";*")+COUNTIF(Ysa!$J:$J,"*;MS:"&amp;$A38&amp;";*"))=0,"NOT SCHEDULED",IF((COUNTIFS(Kiarra!$J:$J,"*;MS:"&amp;$A38&amp;";*",Kiarra!$H:$H,"Done")+COUNTIFS(Hans!$J:$J,"*;MS:"&amp;$A38&amp;";*",Hans!$H:$H,"Done")+COUNTIFS(Jertz!$J:$J,"*;MS:"&amp;$A38&amp;";*",Jertz!$H:$H,"Done")+COUNTIFS(Ysa!$J:$J,"*;MS:"&amp;$A38&amp;";*",Ysa!$H:$H,"Done"))&gt;=(COUNTIF(Kiarra!$J:$J,"*;MS:"&amp;$A38&amp;";*")+COUNTIF(Hans!$J:$J,"*;MS:"&amp;$A38&amp;";*")+COUNTIF(Jertz!$J:$J,"*;MS:"&amp;$A38&amp;";*")+COUNTIF(Ysa!$J:$J,"*;MS:"&amp;$A38&amp;";*")),"Done",IF((COUNTIFS(Kiarra!$J:$J,"*;MS:"&amp;$A38&amp;";*",Kiarra!$H:$H,"Done")+COUNTIFS(Hans!$J:$J,"*;MS:"&amp;$A38&amp;";*",Hans!$H:$H,"Done")+COUNTIFS(Jertz!$J:$J,"*;MS:"&amp;$A38&amp;";*",Jertz!$H:$H,"Done")+COUNTIFS(Ysa!$J:$J,"*;MS:"&amp;$A38&amp;";*",Ysa!$H:$H,"Done"))&gt;0,"In progress","Not started")))</f>
        <v/>
      </c>
      <c r="K38" s="7" t="inlineStr">
        <is>
          <t>MOD-ANA</t>
        </is>
      </c>
      <c r="L38" s="15" t="n">
        <v>0.2849</v>
      </c>
      <c r="M38" s="15">
        <f>IF($I38="Done",0,$L38)</f>
        <v/>
      </c>
    </row>
    <row r="39">
      <c r="A39" s="27" t="inlineStr">
        <is>
          <t>RAG</t>
        </is>
      </c>
      <c r="B39" s="9" t="inlineStr">
        <is>
          <t>Document RAG chatbot</t>
        </is>
      </c>
      <c r="C39" s="52" t="n"/>
      <c r="D39" s="9" t="inlineStr">
        <is>
          <t>Ysa</t>
        </is>
      </c>
      <c r="E39" s="9" t="inlineStr">
        <is>
          <t>The evening RAG closes</t>
        </is>
      </c>
      <c r="F39" s="51" t="n"/>
      <c r="G39" s="51" t="n"/>
      <c r="H39" s="52" t="n"/>
      <c r="I39" s="9">
        <f>IF((COUNTIF(Kiarra!$J:$J,"*;MS:"&amp;$A39&amp;";*")+COUNTIF(Hans!$J:$J,"*;MS:"&amp;$A39&amp;";*")+COUNTIF(Jertz!$J:$J,"*;MS:"&amp;$A39&amp;";*")+COUNTIF(Ysa!$J:$J,"*;MS:"&amp;$A39&amp;";*"))=0,"NOT SCHEDULED",IF((COUNTIFS(Kiarra!$J:$J,"*;MS:"&amp;$A39&amp;";*",Kiarra!$H:$H,"Done")+COUNTIFS(Hans!$J:$J,"*;MS:"&amp;$A39&amp;";*",Hans!$H:$H,"Done")+COUNTIFS(Jertz!$J:$J,"*;MS:"&amp;$A39&amp;";*",Jertz!$H:$H,"Done")+COUNTIFS(Ysa!$J:$J,"*;MS:"&amp;$A39&amp;";*",Ysa!$H:$H,"Done"))&gt;=(COUNTIF(Kiarra!$J:$J,"*;MS:"&amp;$A39&amp;";*")+COUNTIF(Hans!$J:$J,"*;MS:"&amp;$A39&amp;";*")+COUNTIF(Jertz!$J:$J,"*;MS:"&amp;$A39&amp;";*")+COUNTIF(Ysa!$J:$J,"*;MS:"&amp;$A39&amp;";*")),"Done",IF((COUNTIFS(Kiarra!$J:$J,"*;MS:"&amp;$A39&amp;";*",Kiarra!$H:$H,"Done")+COUNTIFS(Hans!$J:$J,"*;MS:"&amp;$A39&amp;";*",Hans!$H:$H,"Done")+COUNTIFS(Jertz!$J:$J,"*;MS:"&amp;$A39&amp;";*",Jertz!$H:$H,"Done")+COUNTIFS(Ysa!$J:$J,"*;MS:"&amp;$A39&amp;";*",Ysa!$H:$H,"Done"))&gt;0,"In progress","Not started")))</f>
        <v/>
      </c>
      <c r="K39" s="7" t="inlineStr">
        <is>
          <t>MOD-ANA</t>
        </is>
      </c>
      <c r="L39" s="15" t="n">
        <v>0.2849</v>
      </c>
      <c r="M39" s="15">
        <f>IF($I39="Done",0,$L39)</f>
        <v/>
      </c>
    </row>
    <row r="40">
      <c r="A40" s="27" t="inlineStr">
        <is>
          <t>UPLOAD</t>
        </is>
      </c>
      <c r="B40" s="9" t="inlineStr">
        <is>
          <t>Document upload API</t>
        </is>
      </c>
      <c r="C40" s="52" t="n"/>
      <c r="D40" s="9" t="inlineStr">
        <is>
          <t>Ysa</t>
        </is>
      </c>
      <c r="E40" s="9" t="inlineStr">
        <is>
          <t>The evening UPLOAD closes</t>
        </is>
      </c>
      <c r="F40" s="51" t="n"/>
      <c r="G40" s="51" t="n"/>
      <c r="H40" s="52" t="n"/>
      <c r="I40" s="9">
        <f>IF((COUNTIF(Kiarra!$J:$J,"*;MS:"&amp;$A40&amp;";*")+COUNTIF(Hans!$J:$J,"*;MS:"&amp;$A40&amp;";*")+COUNTIF(Jertz!$J:$J,"*;MS:"&amp;$A40&amp;";*")+COUNTIF(Ysa!$J:$J,"*;MS:"&amp;$A40&amp;";*"))=0,"NOT SCHEDULED",IF((COUNTIFS(Kiarra!$J:$J,"*;MS:"&amp;$A40&amp;";*",Kiarra!$H:$H,"Done")+COUNTIFS(Hans!$J:$J,"*;MS:"&amp;$A40&amp;";*",Hans!$H:$H,"Done")+COUNTIFS(Jertz!$J:$J,"*;MS:"&amp;$A40&amp;";*",Jertz!$H:$H,"Done")+COUNTIFS(Ysa!$J:$J,"*;MS:"&amp;$A40&amp;";*",Ysa!$H:$H,"Done"))&gt;=(COUNTIF(Kiarra!$J:$J,"*;MS:"&amp;$A40&amp;";*")+COUNTIF(Hans!$J:$J,"*;MS:"&amp;$A40&amp;";*")+COUNTIF(Jertz!$J:$J,"*;MS:"&amp;$A40&amp;";*")+COUNTIF(Ysa!$J:$J,"*;MS:"&amp;$A40&amp;";*")),"Done",IF((COUNTIFS(Kiarra!$J:$J,"*;MS:"&amp;$A40&amp;";*",Kiarra!$H:$H,"Done")+COUNTIFS(Hans!$J:$J,"*;MS:"&amp;$A40&amp;";*",Hans!$H:$H,"Done")+COUNTIFS(Jertz!$J:$J,"*;MS:"&amp;$A40&amp;";*",Jertz!$H:$H,"Done")+COUNTIFS(Ysa!$J:$J,"*;MS:"&amp;$A40&amp;";*",Ysa!$H:$H,"Done"))&gt;0,"In progress","Not started")))</f>
        <v/>
      </c>
      <c r="K40" s="7" t="inlineStr">
        <is>
          <t>MOD-BE</t>
        </is>
      </c>
      <c r="L40" s="15" t="n">
        <v>0.3663</v>
      </c>
      <c r="M40" s="15">
        <f>IF($I40="Done",0,$L40)</f>
        <v/>
      </c>
    </row>
    <row r="41">
      <c r="A41" s="27" t="inlineStr">
        <is>
          <t>REALTIME</t>
        </is>
      </c>
      <c r="B41" s="9" t="inlineStr">
        <is>
          <t>Document real-time architecture</t>
        </is>
      </c>
      <c r="C41" s="52" t="n"/>
      <c r="D41" s="9" t="inlineStr">
        <is>
          <t>Ysa</t>
        </is>
      </c>
      <c r="E41" s="9" t="inlineStr">
        <is>
          <t>The evening REALTIME closes</t>
        </is>
      </c>
      <c r="F41" s="51" t="n"/>
      <c r="G41" s="51" t="n"/>
      <c r="H41" s="52" t="n"/>
      <c r="I41" s="9">
        <f>IF((COUNTIF(Kiarra!$J:$J,"*;MS:"&amp;$A41&amp;";*")+COUNTIF(Hans!$J:$J,"*;MS:"&amp;$A41&amp;";*")+COUNTIF(Jertz!$J:$J,"*;MS:"&amp;$A41&amp;";*")+COUNTIF(Ysa!$J:$J,"*;MS:"&amp;$A41&amp;";*"))=0,"NOT SCHEDULED",IF((COUNTIFS(Kiarra!$J:$J,"*;MS:"&amp;$A41&amp;";*",Kiarra!$H:$H,"Done")+COUNTIFS(Hans!$J:$J,"*;MS:"&amp;$A41&amp;";*",Hans!$H:$H,"Done")+COUNTIFS(Jertz!$J:$J,"*;MS:"&amp;$A41&amp;";*",Jertz!$H:$H,"Done")+COUNTIFS(Ysa!$J:$J,"*;MS:"&amp;$A41&amp;";*",Ysa!$H:$H,"Done"))&gt;=(COUNTIF(Kiarra!$J:$J,"*;MS:"&amp;$A41&amp;";*")+COUNTIF(Hans!$J:$J,"*;MS:"&amp;$A41&amp;";*")+COUNTIF(Jertz!$J:$J,"*;MS:"&amp;$A41&amp;";*")+COUNTIF(Ysa!$J:$J,"*;MS:"&amp;$A41&amp;";*")),"Done",IF((COUNTIFS(Kiarra!$J:$J,"*;MS:"&amp;$A41&amp;";*",Kiarra!$H:$H,"Done")+COUNTIFS(Hans!$J:$J,"*;MS:"&amp;$A41&amp;";*",Hans!$H:$H,"Done")+COUNTIFS(Jertz!$J:$J,"*;MS:"&amp;$A41&amp;";*",Jertz!$H:$H,"Done")+COUNTIFS(Ysa!$J:$J,"*;MS:"&amp;$A41&amp;";*",Ysa!$H:$H,"Done"))&gt;0,"In progress","Not started")))</f>
        <v/>
      </c>
      <c r="K41" s="7" t="inlineStr">
        <is>
          <t>MOD-BE</t>
        </is>
      </c>
      <c r="L41" s="15" t="n">
        <v>0.3663</v>
      </c>
      <c r="M41" s="15">
        <f>IF($I41="Done",0,$L41)</f>
        <v/>
      </c>
    </row>
  </sheetData>
  <mergeCells count="60">
    <mergeCell ref="B16:C16"/>
    <mergeCell ref="E26:H26"/>
    <mergeCell ref="B7:C7"/>
    <mergeCell ref="B25:C25"/>
    <mergeCell ref="E16:H16"/>
    <mergeCell ref="B22:C22"/>
    <mergeCell ref="E25:H25"/>
    <mergeCell ref="B31:C31"/>
    <mergeCell ref="E41:H41"/>
    <mergeCell ref="B27:C27"/>
    <mergeCell ref="B18:C18"/>
    <mergeCell ref="E32:H32"/>
    <mergeCell ref="E37:H37"/>
    <mergeCell ref="E22:H22"/>
    <mergeCell ref="B39:C39"/>
    <mergeCell ref="B21:C21"/>
    <mergeCell ref="A2:I2"/>
    <mergeCell ref="E18:H18"/>
    <mergeCell ref="B11:C11"/>
    <mergeCell ref="A14:I14"/>
    <mergeCell ref="E21:H21"/>
    <mergeCell ref="B23:C23"/>
    <mergeCell ref="B17:C17"/>
    <mergeCell ref="E33:H33"/>
    <mergeCell ref="B8:C8"/>
    <mergeCell ref="E24:H24"/>
    <mergeCell ref="B38:C38"/>
    <mergeCell ref="E17:H17"/>
    <mergeCell ref="E23:H23"/>
    <mergeCell ref="B29:C29"/>
    <mergeCell ref="E39:H39"/>
    <mergeCell ref="B19:C19"/>
    <mergeCell ref="B34:C34"/>
    <mergeCell ref="E35:H35"/>
    <mergeCell ref="B10:C10"/>
    <mergeCell ref="E20:H20"/>
    <mergeCell ref="B28:C28"/>
    <mergeCell ref="B37:C37"/>
    <mergeCell ref="E38:H38"/>
    <mergeCell ref="E29:H29"/>
    <mergeCell ref="B40:C40"/>
    <mergeCell ref="E19:H19"/>
    <mergeCell ref="B9:C9"/>
    <mergeCell ref="B35:C35"/>
    <mergeCell ref="E28:H28"/>
    <mergeCell ref="B6:C6"/>
    <mergeCell ref="B24:C24"/>
    <mergeCell ref="B30:C30"/>
    <mergeCell ref="E40:H40"/>
    <mergeCell ref="E31:H31"/>
    <mergeCell ref="B33:C33"/>
    <mergeCell ref="E34:H34"/>
    <mergeCell ref="B20:C20"/>
    <mergeCell ref="E30:H30"/>
    <mergeCell ref="B36:C36"/>
    <mergeCell ref="B32:C32"/>
    <mergeCell ref="B26:C26"/>
    <mergeCell ref="B41:C41"/>
    <mergeCell ref="E27:H27"/>
    <mergeCell ref="E36:H36"/>
  </mergeCells>
  <dataValidations count="2">
    <dataValidation sqref="I16:I41" showDropDown="0" showInputMessage="0" showErrorMessage="0" allowBlank="1" type="list">
      <formula1>"Not started,In progress,Done"</formula1>
    </dataValidation>
    <dataValidation sqref="J6:J11" showDropDown="0" showInputMessage="0" showErrorMessage="0" allowBlank="1" type="list">
      <formula1>"Y,N"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40"/>
  <sheetViews>
    <sheetView workbookViewId="0">
      <pane ySplit="4" topLeftCell="A5" activePane="bottomLeft" state="frozen"/>
      <selection pane="bottomLeft" activeCell="A1" sqref="A1"/>
    </sheetView>
  </sheetViews>
  <sheetFormatPr baseColWidth="8" defaultRowHeight="15"/>
  <cols>
    <col width="9" customWidth="1" min="1" max="1"/>
    <col width="46" customWidth="1" min="2" max="2"/>
    <col width="8" customWidth="1" min="3" max="3"/>
    <col width="11" customWidth="1" min="4" max="4"/>
    <col width="11" customWidth="1" min="5" max="5"/>
    <col width="78" customWidth="1" min="6" max="6"/>
    <col width="14" customWidth="1" min="7" max="7"/>
    <col width="8" customWidth="1" min="8" max="8"/>
  </cols>
  <sheetData>
    <row r="1">
      <c r="A1" s="20" t="inlineStr">
        <is>
          <t>Manuscript - what the build has moved out from under</t>
        </is>
      </c>
    </row>
    <row r="2" ht="32" customHeight="1">
      <c r="A2" s="19" t="inlineStr">
        <is>
          <t>Status is live: it reads the Closes column on the four member sheets. Tick a daily block Done and the row it closes turns Done here. A row reading NOT SCHEDULED has no block pointing at it - that is the gap to fix, not a status.</t>
        </is>
      </c>
    </row>
    <row r="4" ht="24" customHeight="1">
      <c r="A4" s="5" t="inlineStr">
        <is>
          <t>Section</t>
        </is>
      </c>
      <c r="B4" s="5" t="inlineStr">
        <is>
          <t>Title</t>
        </is>
      </c>
      <c r="C4" s="5" t="inlineStr">
        <is>
          <t>Page</t>
        </is>
      </c>
      <c r="D4" s="5" t="inlineStr">
        <is>
          <t>Owner</t>
        </is>
      </c>
      <c r="E4" s="5" t="inlineStr">
        <is>
          <t>Priority</t>
        </is>
      </c>
      <c r="F4" s="5" t="inlineStr">
        <is>
          <t>What changed and why it matters</t>
        </is>
      </c>
      <c r="G4" s="5" t="inlineStr">
        <is>
          <t>Status</t>
        </is>
      </c>
      <c r="H4" s="80" t="inlineStr">
        <is>
          <t>Ref</t>
        </is>
      </c>
    </row>
    <row r="5" ht="56" customHeight="1">
      <c r="A5" s="27" t="inlineStr">
        <is>
          <t>3.11</t>
        </is>
      </c>
      <c r="B5" s="9" t="inlineStr">
        <is>
          <t>Business Analytics Model and Testing</t>
        </is>
      </c>
      <c r="C5" s="9" t="n">
        <v>195</v>
      </c>
      <c r="D5" s="9" t="inlineStr">
        <is>
          <t>Hans</t>
        </is>
      </c>
      <c r="E5" s="21" t="inlineStr">
        <is>
          <t>Critical</t>
        </is>
      </c>
      <c r="F5" s="9" t="inlineStr">
        <is>
          <t>The champion models in the manuscript are not the ones the pipeline chose. HoltWinters is the volume champion, not LSTM; incidents use Poisson GLM; emissions use Polynomial (6.79% WMAPE). Every model table here needs re-stating from the dashboard.</t>
        </is>
      </c>
      <c r="G5" s="9">
        <f>IF((COUNTIF(Kiarra!$J:$J,"*;"&amp;$H5&amp;";*")+COUNTIF(Hans!$J:$J,"*;"&amp;$H5&amp;";*")+COUNTIF(Jertz!$J:$J,"*;"&amp;$H5&amp;";*")+COUNTIF(Ysa!$J:$J,"*;"&amp;$H5&amp;";*"))=0,"NOT SCHEDULED",IF((COUNTIFS(Kiarra!$J:$J,"*;"&amp;$H5&amp;";*",Kiarra!$H:$H,"Done")+COUNTIFS(Hans!$J:$J,"*;"&amp;$H5&amp;";*",Hans!$H:$H,"Done")+COUNTIFS(Jertz!$J:$J,"*;"&amp;$H5&amp;";*",Jertz!$H:$H,"Done")+COUNTIFS(Ysa!$J:$J,"*;"&amp;$H5&amp;";*",Ysa!$H:$H,"Done"))&gt;=(COUNTIF(Kiarra!$J:$J,"*;"&amp;$H5&amp;";*")+COUNTIF(Hans!$J:$J,"*;"&amp;$H5&amp;";*")+COUNTIF(Jertz!$J:$J,"*;"&amp;$H5&amp;";*")+COUNTIF(Ysa!$J:$J,"*;"&amp;$H5&amp;";*")),"Done",IF((COUNTIFS(Kiarra!$J:$J,"*;"&amp;$H5&amp;";*",Kiarra!$H:$H,"Done")+COUNTIFS(Hans!$J:$J,"*;"&amp;$H5&amp;";*",Hans!$H:$H,"Done")+COUNTIFS(Jertz!$J:$J,"*;"&amp;$H5&amp;";*",Jertz!$H:$H,"Done")+COUNTIFS(Ysa!$J:$J,"*;"&amp;$H5&amp;";*",Ysa!$H:$H,"Done"))&gt;0,"In progress","Not started")))</f>
        <v/>
      </c>
      <c r="H5" s="81" t="inlineStr">
        <is>
          <t>R01</t>
        </is>
      </c>
    </row>
    <row r="6" ht="56" customHeight="1">
      <c r="A6" s="27" t="inlineStr">
        <is>
          <t>3.11</t>
        </is>
      </c>
      <c r="B6" s="9" t="inlineStr">
        <is>
          <t>Business Analytics Model and Testing - event surge</t>
        </is>
      </c>
      <c r="C6" s="9" t="n">
        <v>195</v>
      </c>
      <c r="D6" s="9" t="inlineStr">
        <is>
          <t>Hans</t>
        </is>
      </c>
      <c r="E6" s="21" t="inlineStr">
        <is>
          <t>Critical</t>
        </is>
      </c>
      <c r="F6" s="9" t="inlineStr">
        <is>
          <t>The 1.59x arena uplift was selection on the outcome. The defensible figure is 1.16x (CI 1.08-1.29) over 109 calendar events. Any 1.59x in the text is wrong.</t>
        </is>
      </c>
      <c r="G6" s="9">
        <f>IF((COUNTIF(Kiarra!$J:$J,"*;"&amp;$H6&amp;";*")+COUNTIF(Hans!$J:$J,"*;"&amp;$H6&amp;";*")+COUNTIF(Jertz!$J:$J,"*;"&amp;$H6&amp;";*")+COUNTIF(Ysa!$J:$J,"*;"&amp;$H6&amp;";*"))=0,"NOT SCHEDULED",IF((COUNTIFS(Kiarra!$J:$J,"*;"&amp;$H6&amp;";*",Kiarra!$H:$H,"Done")+COUNTIFS(Hans!$J:$J,"*;"&amp;$H6&amp;";*",Hans!$H:$H,"Done")+COUNTIFS(Jertz!$J:$J,"*;"&amp;$H6&amp;";*",Jertz!$H:$H,"Done")+COUNTIFS(Ysa!$J:$J,"*;"&amp;$H6&amp;";*",Ysa!$H:$H,"Done"))&gt;=(COUNTIF(Kiarra!$J:$J,"*;"&amp;$H6&amp;";*")+COUNTIF(Hans!$J:$J,"*;"&amp;$H6&amp;";*")+COUNTIF(Jertz!$J:$J,"*;"&amp;$H6&amp;";*")+COUNTIF(Ysa!$J:$J,"*;"&amp;$H6&amp;";*")),"Done",IF((COUNTIFS(Kiarra!$J:$J,"*;"&amp;$H6&amp;";*",Kiarra!$H:$H,"Done")+COUNTIFS(Hans!$J:$J,"*;"&amp;$H6&amp;";*",Hans!$H:$H,"Done")+COUNTIFS(Jertz!$J:$J,"*;"&amp;$H6&amp;";*",Jertz!$H:$H,"Done")+COUNTIFS(Ysa!$J:$J,"*;"&amp;$H6&amp;";*",Ysa!$H:$H,"Done"))&gt;0,"In progress","Not started")))</f>
        <v/>
      </c>
      <c r="H6" s="81" t="inlineStr">
        <is>
          <t>R02</t>
        </is>
      </c>
    </row>
    <row r="7" ht="56" customHeight="1">
      <c r="A7" s="27" t="inlineStr">
        <is>
          <t>3.9</t>
        </is>
      </c>
      <c r="B7" s="9" t="inlineStr">
        <is>
          <t>Data Gathering (with ETL)</t>
        </is>
      </c>
      <c r="C7" s="9" t="n">
        <v>180</v>
      </c>
      <c r="D7" s="9" t="inlineStr">
        <is>
          <t>Hans</t>
        </is>
      </c>
      <c r="E7" s="46" t="inlineStr">
        <is>
          <t>High</t>
        </is>
      </c>
      <c r="F7" s="9" t="inlineStr">
        <is>
          <t>CDV/PH Arena now has a full hourly series (70,128 rows) - the Bocaue proxy is gone and must not be described. SCTEX exists in daily emissions but is NOT loaded into the hourly facts; 19 of 20 exits are.</t>
        </is>
      </c>
      <c r="G7" s="9">
        <f>IF((COUNTIF(Kiarra!$J:$J,"*;"&amp;$H7&amp;";*")+COUNTIF(Hans!$J:$J,"*;"&amp;$H7&amp;";*")+COUNTIF(Jertz!$J:$J,"*;"&amp;$H7&amp;";*")+COUNTIF(Ysa!$J:$J,"*;"&amp;$H7&amp;";*"))=0,"NOT SCHEDULED",IF((COUNTIFS(Kiarra!$J:$J,"*;"&amp;$H7&amp;";*",Kiarra!$H:$H,"Done")+COUNTIFS(Hans!$J:$J,"*;"&amp;$H7&amp;";*",Hans!$H:$H,"Done")+COUNTIFS(Jertz!$J:$J,"*;"&amp;$H7&amp;";*",Jertz!$H:$H,"Done")+COUNTIFS(Ysa!$J:$J,"*;"&amp;$H7&amp;";*",Ysa!$H:$H,"Done"))&gt;=(COUNTIF(Kiarra!$J:$J,"*;"&amp;$H7&amp;";*")+COUNTIF(Hans!$J:$J,"*;"&amp;$H7&amp;";*")+COUNTIF(Jertz!$J:$J,"*;"&amp;$H7&amp;";*")+COUNTIF(Ysa!$J:$J,"*;"&amp;$H7&amp;";*")),"Done",IF((COUNTIFS(Kiarra!$J:$J,"*;"&amp;$H7&amp;";*",Kiarra!$H:$H,"Done")+COUNTIFS(Hans!$J:$J,"*;"&amp;$H7&amp;";*",Hans!$H:$H,"Done")+COUNTIFS(Jertz!$J:$J,"*;"&amp;$H7&amp;";*",Jertz!$H:$H,"Done")+COUNTIFS(Ysa!$J:$J,"*;"&amp;$H7&amp;";*",Ysa!$H:$H,"Done"))&gt;0,"In progress","Not started")))</f>
        <v/>
      </c>
      <c r="H7" s="81" t="inlineStr">
        <is>
          <t>R03</t>
        </is>
      </c>
    </row>
    <row r="8" ht="56" customHeight="1">
      <c r="A8" s="27" t="inlineStr">
        <is>
          <t>1.5</t>
        </is>
      </c>
      <c r="B8" s="9" t="inlineStr">
        <is>
          <t>Scope and Limitations</t>
        </is>
      </c>
      <c r="C8" s="9" t="n">
        <v>11</v>
      </c>
      <c r="D8" s="9" t="inlineStr">
        <is>
          <t>Kiarra</t>
        </is>
      </c>
      <c r="E8" s="46" t="inlineStr">
        <is>
          <t>High</t>
        </is>
      </c>
      <c r="F8" s="9" t="inlineStr">
        <is>
          <t>Restate the data limitations that actually hold: SCTEX hourly gap, toll data span, and the emissions total moving from 143k to 188k tonnes after the Aug 13 fix. Older drafts quote the stale figure.</t>
        </is>
      </c>
      <c r="G8" s="9">
        <f>IF((COUNTIF(Kiarra!$J:$J,"*;"&amp;$H8&amp;";*")+COUNTIF(Hans!$J:$J,"*;"&amp;$H8&amp;";*")+COUNTIF(Jertz!$J:$J,"*;"&amp;$H8&amp;";*")+COUNTIF(Ysa!$J:$J,"*;"&amp;$H8&amp;";*"))=0,"NOT SCHEDULED",IF((COUNTIFS(Kiarra!$J:$J,"*;"&amp;$H8&amp;";*",Kiarra!$H:$H,"Done")+COUNTIFS(Hans!$J:$J,"*;"&amp;$H8&amp;";*",Hans!$H:$H,"Done")+COUNTIFS(Jertz!$J:$J,"*;"&amp;$H8&amp;";*",Jertz!$H:$H,"Done")+COUNTIFS(Ysa!$J:$J,"*;"&amp;$H8&amp;";*",Ysa!$H:$H,"Done"))&gt;=(COUNTIF(Kiarra!$J:$J,"*;"&amp;$H8&amp;";*")+COUNTIF(Hans!$J:$J,"*;"&amp;$H8&amp;";*")+COUNTIF(Jertz!$J:$J,"*;"&amp;$H8&amp;";*")+COUNTIF(Ysa!$J:$J,"*;"&amp;$H8&amp;";*")),"Done",IF((COUNTIFS(Kiarra!$J:$J,"*;"&amp;$H8&amp;";*",Kiarra!$H:$H,"Done")+COUNTIFS(Hans!$J:$J,"*;"&amp;$H8&amp;";*",Hans!$H:$H,"Done")+COUNTIFS(Jertz!$J:$J,"*;"&amp;$H8&amp;";*",Jertz!$H:$H,"Done")+COUNTIFS(Ysa!$J:$J,"*;"&amp;$H8&amp;";*",Ysa!$H:$H,"Done"))&gt;0,"In progress","Not started")))</f>
        <v/>
      </c>
      <c r="H8" s="81" t="inlineStr">
        <is>
          <t>R04</t>
        </is>
      </c>
    </row>
    <row r="9" ht="56" customHeight="1">
      <c r="A9" s="27" t="inlineStr">
        <is>
          <t>3.7</t>
        </is>
      </c>
      <c r="B9" s="9" t="inlineStr">
        <is>
          <t>Mock-ups</t>
        </is>
      </c>
      <c r="C9" s="9" t="n">
        <v>165</v>
      </c>
      <c r="D9" s="9" t="inlineStr">
        <is>
          <t>Kiarra</t>
        </is>
      </c>
      <c r="E9" s="46" t="inlineStr">
        <is>
          <t>High</t>
        </is>
      </c>
      <c r="F9" s="9" t="inlineStr">
        <is>
          <t>The built UI has diverged from the mock-ups - predictive tabs, the scenario sandbox layout and the map panels were all redesigned during development. Replace with screenshots of what shipped.</t>
        </is>
      </c>
      <c r="G9" s="9">
        <f>IF((COUNTIF(Kiarra!$J:$J,"*;"&amp;$H9&amp;";*")+COUNTIF(Hans!$J:$J,"*;"&amp;$H9&amp;";*")+COUNTIF(Jertz!$J:$J,"*;"&amp;$H9&amp;";*")+COUNTIF(Ysa!$J:$J,"*;"&amp;$H9&amp;";*"))=0,"NOT SCHEDULED",IF((COUNTIFS(Kiarra!$J:$J,"*;"&amp;$H9&amp;";*",Kiarra!$H:$H,"Done")+COUNTIFS(Hans!$J:$J,"*;"&amp;$H9&amp;";*",Hans!$H:$H,"Done")+COUNTIFS(Jertz!$J:$J,"*;"&amp;$H9&amp;";*",Jertz!$H:$H,"Done")+COUNTIFS(Ysa!$J:$J,"*;"&amp;$H9&amp;";*",Ysa!$H:$H,"Done"))&gt;=(COUNTIF(Kiarra!$J:$J,"*;"&amp;$H9&amp;";*")+COUNTIF(Hans!$J:$J,"*;"&amp;$H9&amp;";*")+COUNTIF(Jertz!$J:$J,"*;"&amp;$H9&amp;";*")+COUNTIF(Ysa!$J:$J,"*;"&amp;$H9&amp;";*")),"Done",IF((COUNTIFS(Kiarra!$J:$J,"*;"&amp;$H9&amp;";*",Kiarra!$H:$H,"Done")+COUNTIFS(Hans!$J:$J,"*;"&amp;$H9&amp;";*",Hans!$H:$H,"Done")+COUNTIFS(Jertz!$J:$J,"*;"&amp;$H9&amp;";*",Jertz!$H:$H,"Done")+COUNTIFS(Ysa!$J:$J,"*;"&amp;$H9&amp;";*",Ysa!$H:$H,"Done"))&gt;0,"In progress","Not started")))</f>
        <v/>
      </c>
      <c r="H9" s="81" t="inlineStr">
        <is>
          <t>R05</t>
        </is>
      </c>
    </row>
    <row r="10" ht="56" customHeight="1">
      <c r="A10" s="27" t="inlineStr">
        <is>
          <t>3.8</t>
        </is>
      </c>
      <c r="B10" s="9" t="inlineStr">
        <is>
          <t>System Generated Outputs</t>
        </is>
      </c>
      <c r="C10" s="9" t="n">
        <v>178</v>
      </c>
      <c r="D10" s="9" t="inlineStr">
        <is>
          <t>Kiarra</t>
        </is>
      </c>
      <c r="E10" s="27" t="inlineStr">
        <is>
          <t>Medium</t>
        </is>
      </c>
      <c r="F10" s="9" t="inlineStr">
        <is>
          <t>Outputs listed here predate the current panels. Re-capture against the shipped dashboard.</t>
        </is>
      </c>
      <c r="G10" s="9">
        <f>IF((COUNTIF(Kiarra!$J:$J,"*;"&amp;$H10&amp;";*")+COUNTIF(Hans!$J:$J,"*;"&amp;$H10&amp;";*")+COUNTIF(Jertz!$J:$J,"*;"&amp;$H10&amp;";*")+COUNTIF(Ysa!$J:$J,"*;"&amp;$H10&amp;";*"))=0,"NOT SCHEDULED",IF((COUNTIFS(Kiarra!$J:$J,"*;"&amp;$H10&amp;";*",Kiarra!$H:$H,"Done")+COUNTIFS(Hans!$J:$J,"*;"&amp;$H10&amp;";*",Hans!$H:$H,"Done")+COUNTIFS(Jertz!$J:$J,"*;"&amp;$H10&amp;";*",Jertz!$H:$H,"Done")+COUNTIFS(Ysa!$J:$J,"*;"&amp;$H10&amp;";*",Ysa!$H:$H,"Done"))&gt;=(COUNTIF(Kiarra!$J:$J,"*;"&amp;$H10&amp;";*")+COUNTIF(Hans!$J:$J,"*;"&amp;$H10&amp;";*")+COUNTIF(Jertz!$J:$J,"*;"&amp;$H10&amp;";*")+COUNTIF(Ysa!$J:$J,"*;"&amp;$H10&amp;";*")),"Done",IF((COUNTIFS(Kiarra!$J:$J,"*;"&amp;$H10&amp;";*",Kiarra!$H:$H,"Done")+COUNTIFS(Hans!$J:$J,"*;"&amp;$H10&amp;";*",Hans!$H:$H,"Done")+COUNTIFS(Jertz!$J:$J,"*;"&amp;$H10&amp;";*",Jertz!$H:$H,"Done")+COUNTIFS(Ysa!$J:$J,"*;"&amp;$H10&amp;";*",Ysa!$H:$H,"Done"))&gt;0,"In progress","Not started")))</f>
        <v/>
      </c>
      <c r="H10" s="81" t="inlineStr">
        <is>
          <t>R06</t>
        </is>
      </c>
    </row>
    <row r="11" ht="56" customHeight="1">
      <c r="A11" s="27" t="inlineStr">
        <is>
          <t>3.14</t>
        </is>
      </c>
      <c r="B11" s="9" t="inlineStr">
        <is>
          <t>Deployment Plans</t>
        </is>
      </c>
      <c r="C11" s="9" t="n">
        <v>228</v>
      </c>
      <c r="D11" s="9" t="inlineStr">
        <is>
          <t>Kiarra</t>
        </is>
      </c>
      <c r="E11" s="46" t="inlineStr">
        <is>
          <t>High</t>
        </is>
      </c>
      <c r="F11" s="9" t="inlineStr">
        <is>
          <t>A production `next build` has never been run. Either run it and document the real deployment, or the plan describes something untested.</t>
        </is>
      </c>
      <c r="G11" s="9">
        <f>IF((COUNTIF(Kiarra!$J:$J,"*;"&amp;$H11&amp;";*")+COUNTIF(Hans!$J:$J,"*;"&amp;$H11&amp;";*")+COUNTIF(Jertz!$J:$J,"*;"&amp;$H11&amp;";*")+COUNTIF(Ysa!$J:$J,"*;"&amp;$H11&amp;";*"))=0,"NOT SCHEDULED",IF((COUNTIFS(Kiarra!$J:$J,"*;"&amp;$H11&amp;";*",Kiarra!$H:$H,"Done")+COUNTIFS(Hans!$J:$J,"*;"&amp;$H11&amp;";*",Hans!$H:$H,"Done")+COUNTIFS(Jertz!$J:$J,"*;"&amp;$H11&amp;";*",Jertz!$H:$H,"Done")+COUNTIFS(Ysa!$J:$J,"*;"&amp;$H11&amp;";*",Ysa!$H:$H,"Done"))&gt;=(COUNTIF(Kiarra!$J:$J,"*;"&amp;$H11&amp;";*")+COUNTIF(Hans!$J:$J,"*;"&amp;$H11&amp;";*")+COUNTIF(Jertz!$J:$J,"*;"&amp;$H11&amp;";*")+COUNTIF(Ysa!$J:$J,"*;"&amp;$H11&amp;";*")),"Done",IF((COUNTIFS(Kiarra!$J:$J,"*;"&amp;$H11&amp;";*",Kiarra!$H:$H,"Done")+COUNTIFS(Hans!$J:$J,"*;"&amp;$H11&amp;";*",Hans!$H:$H,"Done")+COUNTIFS(Jertz!$J:$J,"*;"&amp;$H11&amp;";*",Jertz!$H:$H,"Done")+COUNTIFS(Ysa!$J:$J,"*;"&amp;$H11&amp;";*",Ysa!$H:$H,"Done"))&gt;0,"In progress","Not started")))</f>
        <v/>
      </c>
      <c r="H11" s="81" t="inlineStr">
        <is>
          <t>R07</t>
        </is>
      </c>
    </row>
    <row r="12" ht="56" customHeight="1">
      <c r="A12" s="27" t="inlineStr">
        <is>
          <t>3.13</t>
        </is>
      </c>
      <c r="B12" s="9" t="inlineStr">
        <is>
          <t>Software Quality Assurance Plans</t>
        </is>
      </c>
      <c r="C12" s="9" t="n">
        <v>219</v>
      </c>
      <c r="D12" s="9" t="inlineStr">
        <is>
          <t>Jertz</t>
        </is>
      </c>
      <c r="E12" s="46" t="inlineStr">
        <is>
          <t>High</t>
        </is>
      </c>
      <c r="F12" s="9" t="inlineStr">
        <is>
          <t>ESLint has never run on this codebase (legacy .eslintrc vs ESLint 9). The SQA plan claims a linting step that does not execute.</t>
        </is>
      </c>
      <c r="G12" s="9">
        <f>IF((COUNTIF(Kiarra!$J:$J,"*;"&amp;$H12&amp;";*")+COUNTIF(Hans!$J:$J,"*;"&amp;$H12&amp;";*")+COUNTIF(Jertz!$J:$J,"*;"&amp;$H12&amp;";*")+COUNTIF(Ysa!$J:$J,"*;"&amp;$H12&amp;";*"))=0,"NOT SCHEDULED",IF((COUNTIFS(Kiarra!$J:$J,"*;"&amp;$H12&amp;";*",Kiarra!$H:$H,"Done")+COUNTIFS(Hans!$J:$J,"*;"&amp;$H12&amp;";*",Hans!$H:$H,"Done")+COUNTIFS(Jertz!$J:$J,"*;"&amp;$H12&amp;";*",Jertz!$H:$H,"Done")+COUNTIFS(Ysa!$J:$J,"*;"&amp;$H12&amp;";*",Ysa!$H:$H,"Done"))&gt;=(COUNTIF(Kiarra!$J:$J,"*;"&amp;$H12&amp;";*")+COUNTIF(Hans!$J:$J,"*;"&amp;$H12&amp;";*")+COUNTIF(Jertz!$J:$J,"*;"&amp;$H12&amp;";*")+COUNTIF(Ysa!$J:$J,"*;"&amp;$H12&amp;";*")),"Done",IF((COUNTIFS(Kiarra!$J:$J,"*;"&amp;$H12&amp;";*",Kiarra!$H:$H,"Done")+COUNTIFS(Hans!$J:$J,"*;"&amp;$H12&amp;";*",Hans!$H:$H,"Done")+COUNTIFS(Jertz!$J:$J,"*;"&amp;$H12&amp;";*",Jertz!$H:$H,"Done")+COUNTIFS(Ysa!$J:$J,"*;"&amp;$H12&amp;";*",Ysa!$H:$H,"Done"))&gt;0,"In progress","Not started")))</f>
        <v/>
      </c>
      <c r="H12" s="81" t="inlineStr">
        <is>
          <t>R08</t>
        </is>
      </c>
    </row>
    <row r="13" ht="56" customHeight="1">
      <c r="A13" s="27" t="inlineStr">
        <is>
          <t>3.10</t>
        </is>
      </c>
      <c r="B13" s="9" t="inlineStr">
        <is>
          <t>Presentation of Schema</t>
        </is>
      </c>
      <c r="C13" s="9" t="n">
        <v>192</v>
      </c>
      <c r="D13" s="9" t="inlineStr">
        <is>
          <t>Hans</t>
        </is>
      </c>
      <c r="E13" s="27" t="inlineStr">
        <is>
          <t>Medium</t>
        </is>
      </c>
      <c r="F13" s="9" t="inlineStr">
        <is>
          <t>Confirm the bronze/silver/gold medallion description matches the warehouse as built, including which public objects are views.</t>
        </is>
      </c>
      <c r="G13" s="9">
        <f>IF((COUNTIF(Kiarra!$J:$J,"*;"&amp;$H13&amp;";*")+COUNTIF(Hans!$J:$J,"*;"&amp;$H13&amp;";*")+COUNTIF(Jertz!$J:$J,"*;"&amp;$H13&amp;";*")+COUNTIF(Ysa!$J:$J,"*;"&amp;$H13&amp;";*"))=0,"NOT SCHEDULED",IF((COUNTIFS(Kiarra!$J:$J,"*;"&amp;$H13&amp;";*",Kiarra!$H:$H,"Done")+COUNTIFS(Hans!$J:$J,"*;"&amp;$H13&amp;";*",Hans!$H:$H,"Done")+COUNTIFS(Jertz!$J:$J,"*;"&amp;$H13&amp;";*",Jertz!$H:$H,"Done")+COUNTIFS(Ysa!$J:$J,"*;"&amp;$H13&amp;";*",Ysa!$H:$H,"Done"))&gt;=(COUNTIF(Kiarra!$J:$J,"*;"&amp;$H13&amp;";*")+COUNTIF(Hans!$J:$J,"*;"&amp;$H13&amp;";*")+COUNTIF(Jertz!$J:$J,"*;"&amp;$H13&amp;";*")+COUNTIF(Ysa!$J:$J,"*;"&amp;$H13&amp;";*")),"Done",IF((COUNTIFS(Kiarra!$J:$J,"*;"&amp;$H13&amp;";*",Kiarra!$H:$H,"Done")+COUNTIFS(Hans!$J:$J,"*;"&amp;$H13&amp;";*",Hans!$H:$H,"Done")+COUNTIFS(Jertz!$J:$J,"*;"&amp;$H13&amp;";*",Jertz!$H:$H,"Done")+COUNTIFS(Ysa!$J:$J,"*;"&amp;$H13&amp;";*",Ysa!$H:$H,"Done"))&gt;0,"In progress","Not started")))</f>
        <v/>
      </c>
      <c r="H13" s="81" t="inlineStr">
        <is>
          <t>R09</t>
        </is>
      </c>
    </row>
    <row r="14" ht="56" customHeight="1">
      <c r="A14" s="27" t="inlineStr">
        <is>
          <t>1.4</t>
        </is>
      </c>
      <c r="B14" s="9" t="inlineStr">
        <is>
          <t>Purpose and Objectives</t>
        </is>
      </c>
      <c r="C14" s="9" t="n">
        <v>8</v>
      </c>
      <c r="D14" s="9" t="inlineStr">
        <is>
          <t>Kiarra</t>
        </is>
      </c>
      <c r="E14" s="27" t="inlineStr">
        <is>
          <t>Medium</t>
        </is>
      </c>
      <c r="F14" s="9" t="inlineStr">
        <is>
          <t>Re-read the four objectives against what shipped and state honestly where coverage is partial, rather than leaving a claim the demo cannot support.</t>
        </is>
      </c>
      <c r="G14" s="9">
        <f>IF((COUNTIF(Kiarra!$J:$J,"*;"&amp;$H14&amp;";*")+COUNTIF(Hans!$J:$J,"*;"&amp;$H14&amp;";*")+COUNTIF(Jertz!$J:$J,"*;"&amp;$H14&amp;";*")+COUNTIF(Ysa!$J:$J,"*;"&amp;$H14&amp;";*"))=0,"NOT SCHEDULED",IF((COUNTIFS(Kiarra!$J:$J,"*;"&amp;$H14&amp;";*",Kiarra!$H:$H,"Done")+COUNTIFS(Hans!$J:$J,"*;"&amp;$H14&amp;";*",Hans!$H:$H,"Done")+COUNTIFS(Jertz!$J:$J,"*;"&amp;$H14&amp;";*",Jertz!$H:$H,"Done")+COUNTIFS(Ysa!$J:$J,"*;"&amp;$H14&amp;";*",Ysa!$H:$H,"Done"))&gt;=(COUNTIF(Kiarra!$J:$J,"*;"&amp;$H14&amp;";*")+COUNTIF(Hans!$J:$J,"*;"&amp;$H14&amp;";*")+COUNTIF(Jertz!$J:$J,"*;"&amp;$H14&amp;";*")+COUNTIF(Ysa!$J:$J,"*;"&amp;$H14&amp;";*")),"Done",IF((COUNTIFS(Kiarra!$J:$J,"*;"&amp;$H14&amp;";*",Kiarra!$H:$H,"Done")+COUNTIFS(Hans!$J:$J,"*;"&amp;$H14&amp;";*",Hans!$H:$H,"Done")+COUNTIFS(Jertz!$J:$J,"*;"&amp;$H14&amp;";*",Jertz!$H:$H,"Done")+COUNTIFS(Ysa!$J:$J,"*;"&amp;$H14&amp;";*",Ysa!$H:$H,"Done"))&gt;0,"In progress","Not started")))</f>
        <v/>
      </c>
      <c r="H14" s="81" t="inlineStr">
        <is>
          <t>R10</t>
        </is>
      </c>
    </row>
    <row r="15" ht="56" customHeight="1">
      <c r="A15" s="27" t="inlineStr">
        <is>
          <t>3.12</t>
        </is>
      </c>
      <c r="B15" s="9" t="inlineStr">
        <is>
          <t>Analytics Tools, Techniques, Specifications</t>
        </is>
      </c>
      <c r="C15" s="9" t="n">
        <v>216</v>
      </c>
      <c r="D15" s="9" t="inlineStr">
        <is>
          <t>Hans</t>
        </is>
      </c>
      <c r="E15" s="27" t="inlineStr">
        <is>
          <t>Low</t>
        </is>
      </c>
      <c r="F15" s="9" t="inlineStr">
        <is>
          <t>Align the stated stack with what is actually in the repo.</t>
        </is>
      </c>
      <c r="G15" s="9">
        <f>IF((COUNTIF(Kiarra!$J:$J,"*;"&amp;$H15&amp;";*")+COUNTIF(Hans!$J:$J,"*;"&amp;$H15&amp;";*")+COUNTIF(Jertz!$J:$J,"*;"&amp;$H15&amp;";*")+COUNTIF(Ysa!$J:$J,"*;"&amp;$H15&amp;";*"))=0,"NOT SCHEDULED",IF((COUNTIFS(Kiarra!$J:$J,"*;"&amp;$H15&amp;";*",Kiarra!$H:$H,"Done")+COUNTIFS(Hans!$J:$J,"*;"&amp;$H15&amp;";*",Hans!$H:$H,"Done")+COUNTIFS(Jertz!$J:$J,"*;"&amp;$H15&amp;";*",Jertz!$H:$H,"Done")+COUNTIFS(Ysa!$J:$J,"*;"&amp;$H15&amp;";*",Ysa!$H:$H,"Done"))&gt;=(COUNTIF(Kiarra!$J:$J,"*;"&amp;$H15&amp;";*")+COUNTIF(Hans!$J:$J,"*;"&amp;$H15&amp;";*")+COUNTIF(Jertz!$J:$J,"*;"&amp;$H15&amp;";*")+COUNTIF(Ysa!$J:$J,"*;"&amp;$H15&amp;";*")),"Done",IF((COUNTIFS(Kiarra!$J:$J,"*;"&amp;$H15&amp;";*",Kiarra!$H:$H,"Done")+COUNTIFS(Hans!$J:$J,"*;"&amp;$H15&amp;";*",Hans!$H:$H,"Done")+COUNTIFS(Jertz!$J:$J,"*;"&amp;$H15&amp;";*",Jertz!$H:$H,"Done")+COUNTIFS(Ysa!$J:$J,"*;"&amp;$H15&amp;";*",Ysa!$H:$H,"Done"))&gt;0,"In progress","Not started")))</f>
        <v/>
      </c>
      <c r="H15" s="81" t="inlineStr">
        <is>
          <t>R11</t>
        </is>
      </c>
    </row>
    <row r="16" ht="56" customHeight="1">
      <c r="A16" s="27" t="inlineStr">
        <is>
          <t>2.3</t>
        </is>
      </c>
      <c r="B16" s="9" t="inlineStr">
        <is>
          <t>Synthesis</t>
        </is>
      </c>
      <c r="C16" s="9" t="n">
        <v>114</v>
      </c>
      <c r="D16" s="9" t="inlineStr">
        <is>
          <t>Jertz</t>
        </is>
      </c>
      <c r="E16" s="27" t="inlineStr">
        <is>
          <t>Low</t>
        </is>
      </c>
      <c r="F16" s="9" t="inlineStr">
        <is>
          <t>Light pass only - check nothing in the synthesis leans on a figure that has since changed.</t>
        </is>
      </c>
      <c r="G16" s="9">
        <f>IF((COUNTIF(Kiarra!$J:$J,"*;"&amp;$H16&amp;";*")+COUNTIF(Hans!$J:$J,"*;"&amp;$H16&amp;";*")+COUNTIF(Jertz!$J:$J,"*;"&amp;$H16&amp;";*")+COUNTIF(Ysa!$J:$J,"*;"&amp;$H16&amp;";*"))=0,"NOT SCHEDULED",IF((COUNTIFS(Kiarra!$J:$J,"*;"&amp;$H16&amp;";*",Kiarra!$H:$H,"Done")+COUNTIFS(Hans!$J:$J,"*;"&amp;$H16&amp;";*",Hans!$H:$H,"Done")+COUNTIFS(Jertz!$J:$J,"*;"&amp;$H16&amp;";*",Jertz!$H:$H,"Done")+COUNTIFS(Ysa!$J:$J,"*;"&amp;$H16&amp;";*",Ysa!$H:$H,"Done"))&gt;=(COUNTIF(Kiarra!$J:$J,"*;"&amp;$H16&amp;";*")+COUNTIF(Hans!$J:$J,"*;"&amp;$H16&amp;";*")+COUNTIF(Jertz!$J:$J,"*;"&amp;$H16&amp;";*")+COUNTIF(Ysa!$J:$J,"*;"&amp;$H16&amp;";*")),"Done",IF((COUNTIFS(Kiarra!$J:$J,"*;"&amp;$H16&amp;";*",Kiarra!$H:$H,"Done")+COUNTIFS(Hans!$J:$J,"*;"&amp;$H16&amp;";*",Hans!$H:$H,"Done")+COUNTIFS(Jertz!$J:$J,"*;"&amp;$H16&amp;";*",Jertz!$H:$H,"Done")+COUNTIFS(Ysa!$J:$J,"*;"&amp;$H16&amp;";*",Ysa!$H:$H,"Done"))&gt;0,"In progress","Not started")))</f>
        <v/>
      </c>
      <c r="H16" s="81" t="inlineStr">
        <is>
          <t>R12</t>
        </is>
      </c>
    </row>
    <row r="18">
      <c r="A18" s="3" t="inlineStr">
        <is>
          <t>Where Chapter 4's figures already exist - screenshot, do not regenerate</t>
        </is>
      </c>
    </row>
    <row r="19">
      <c r="A19" s="3" t="inlineStr">
        <is>
          <t>Congestion model</t>
        </is>
      </c>
      <c r="C19" s="47" t="inlineStr">
        <is>
          <t>Predictive Congestion State Map - 68% at +1h, 67% at +168h, vs no-change baseline; Brier 0.433</t>
        </is>
      </c>
    </row>
    <row r="20">
      <c r="A20" s="3" t="inlineStr">
        <is>
          <t>Event surge</t>
        </is>
      </c>
      <c r="C20" s="47" t="inlineStr">
        <is>
          <t>Event Surge Impact - 11.44% held-out error vs 13.69% ignoring the event; uplift 1.16x</t>
        </is>
      </c>
    </row>
    <row r="21">
      <c r="A21" s="3" t="inlineStr">
        <is>
          <t>Incident forecast</t>
        </is>
      </c>
      <c r="C21" s="47" t="inlineStr">
        <is>
          <t>Incident Walk-Forward - Poisson GLM champion; RMSE / MAE / WMAPE / MASE</t>
        </is>
      </c>
    </row>
    <row r="22">
      <c r="A22" s="3" t="inlineStr">
        <is>
          <t>Clearance + secondary risk</t>
        </is>
      </c>
      <c r="C22" s="47" t="inlineStr">
        <is>
          <t>Secondary Incident Risk - Cox PH concordance 0.625; risk AUC 0.620</t>
        </is>
      </c>
    </row>
    <row r="23">
      <c r="A23" s="3" t="inlineStr">
        <is>
          <t>Emissions forecast</t>
        </is>
      </c>
      <c r="C23" s="47" t="inlineStr">
        <is>
          <t>Corridor CO2 Walk-Forward - Polynomial, 6.79% WMAPE on 294 held-out days</t>
        </is>
      </c>
    </row>
    <row r="26">
      <c r="A26" s="77" t="inlineStr">
        <is>
          <t>CHAPTER 4 - reconcile the draft against the system as built</t>
        </is>
      </c>
    </row>
    <row r="27">
      <c r="A27" s="19" t="inlineStr">
        <is>
          <t>Chapter 4 was drafted in early September against the system as planned. These are the places where the delivered system now differs. Page references are to the Chapter 4 draft, not the CP-1 manuscript.</t>
        </is>
      </c>
    </row>
    <row r="29" ht="22" customHeight="1">
      <c r="A29" s="5" t="inlineStr">
        <is>
          <t>Item</t>
        </is>
      </c>
      <c r="B29" s="5" t="inlineStr">
        <is>
          <t>Where</t>
        </is>
      </c>
      <c r="C29" s="5" t="inlineStr">
        <is>
          <t>Fig/Tbl</t>
        </is>
      </c>
      <c r="D29" s="5" t="inlineStr">
        <is>
          <t>Owner</t>
        </is>
      </c>
      <c r="E29" s="5" t="inlineStr">
        <is>
          <t>Priority</t>
        </is>
      </c>
      <c r="F29" s="5" t="inlineStr">
        <is>
          <t>What changed and why it matters</t>
        </is>
      </c>
      <c r="G29" s="5" t="inlineStr">
        <is>
          <t>Status</t>
        </is>
      </c>
      <c r="H29" s="80" t="inlineStr">
        <is>
          <t>Ref</t>
        </is>
      </c>
    </row>
    <row r="30" ht="52" customHeight="1">
      <c r="A30" s="27" t="inlineStr">
        <is>
          <t>Incident champion</t>
        </is>
      </c>
      <c r="B30" s="9" t="inlineStr">
        <is>
          <t>4.1.4.2</t>
        </is>
      </c>
      <c r="C30" s="9" t="inlineStr">
        <is>
          <t>4.1.18, 4.1.19</t>
        </is>
      </c>
      <c r="D30" s="9" t="inlineStr">
        <is>
          <t>Jertz</t>
        </is>
      </c>
      <c r="E30" s="21" t="inlineStr">
        <is>
          <t>Critical</t>
        </is>
      </c>
      <c r="F30" s="9" t="inlineStr">
        <is>
          <t>Both figures show Random Forest as champion with WMAPE 17.04%. The live API returns championModel = Poisson_GLM. Recapture both, and check whether the champion changes with the Range filter before writing the number into the prose.</t>
        </is>
      </c>
      <c r="G30" s="9">
        <f>IF((COUNTIF(Kiarra!$J:$J,"*;"&amp;$H30&amp;";*")+COUNTIF(Hans!$J:$J,"*;"&amp;$H30&amp;";*")+COUNTIF(Jertz!$J:$J,"*;"&amp;$H30&amp;";*")+COUNTIF(Ysa!$J:$J,"*;"&amp;$H30&amp;";*"))=0,"NOT SCHEDULED",IF((COUNTIFS(Kiarra!$J:$J,"*;"&amp;$H30&amp;";*",Kiarra!$H:$H,"Done")+COUNTIFS(Hans!$J:$J,"*;"&amp;$H30&amp;";*",Hans!$H:$H,"Done")+COUNTIFS(Jertz!$J:$J,"*;"&amp;$H30&amp;";*",Jertz!$H:$H,"Done")+COUNTIFS(Ysa!$J:$J,"*;"&amp;$H30&amp;";*",Ysa!$H:$H,"Done"))&gt;=(COUNTIF(Kiarra!$J:$J,"*;"&amp;$H30&amp;";*")+COUNTIF(Hans!$J:$J,"*;"&amp;$H30&amp;";*")+COUNTIF(Jertz!$J:$J,"*;"&amp;$H30&amp;";*")+COUNTIF(Ysa!$J:$J,"*;"&amp;$H30&amp;";*")),"Done",IF((COUNTIFS(Kiarra!$J:$J,"*;"&amp;$H30&amp;";*",Kiarra!$H:$H,"Done")+COUNTIFS(Hans!$J:$J,"*;"&amp;$H30&amp;";*",Hans!$H:$H,"Done")+COUNTIFS(Jertz!$J:$J,"*;"&amp;$H30&amp;";*",Jertz!$H:$H,"Done")+COUNTIFS(Ysa!$J:$J,"*;"&amp;$H30&amp;";*",Ysa!$H:$H,"Done"))&gt;0,"In progress","Not started")))</f>
        <v/>
      </c>
      <c r="H30" s="81" t="inlineStr">
        <is>
          <t>C01</t>
        </is>
      </c>
    </row>
    <row r="31" ht="52" customHeight="1">
      <c r="A31" s="27" t="inlineStr">
        <is>
          <t>Volume champion</t>
        </is>
      </c>
      <c r="B31" s="9" t="inlineStr">
        <is>
          <t>4.1.4.1</t>
        </is>
      </c>
      <c r="C31" s="9" t="inlineStr">
        <is>
          <t>4.1.15</t>
        </is>
      </c>
      <c r="D31" s="9" t="inlineStr">
        <is>
          <t>Hans</t>
        </is>
      </c>
      <c r="E31" s="21" t="inlineStr">
        <is>
          <t>Critical</t>
        </is>
      </c>
      <c r="F31" s="9" t="inlineStr">
        <is>
          <t>Figure 4.1.15 shows LSTM flagged REJECTED with MASE 1.653 - above 1 means it lost to the naive baseline. The narrative around it cannot describe LSTM as the selected model. Recapture with the actual champion.</t>
        </is>
      </c>
      <c r="G31" s="9">
        <f>IF((COUNTIF(Kiarra!$J:$J,"*;"&amp;$H31&amp;";*")+COUNTIF(Hans!$J:$J,"*;"&amp;$H31&amp;";*")+COUNTIF(Jertz!$J:$J,"*;"&amp;$H31&amp;";*")+COUNTIF(Ysa!$J:$J,"*;"&amp;$H31&amp;";*"))=0,"NOT SCHEDULED",IF((COUNTIFS(Kiarra!$J:$J,"*;"&amp;$H31&amp;";*",Kiarra!$H:$H,"Done")+COUNTIFS(Hans!$J:$J,"*;"&amp;$H31&amp;";*",Hans!$H:$H,"Done")+COUNTIFS(Jertz!$J:$J,"*;"&amp;$H31&amp;";*",Jertz!$H:$H,"Done")+COUNTIFS(Ysa!$J:$J,"*;"&amp;$H31&amp;";*",Ysa!$H:$H,"Done"))&gt;=(COUNTIF(Kiarra!$J:$J,"*;"&amp;$H31&amp;";*")+COUNTIF(Hans!$J:$J,"*;"&amp;$H31&amp;";*")+COUNTIF(Jertz!$J:$J,"*;"&amp;$H31&amp;";*")+COUNTIF(Ysa!$J:$J,"*;"&amp;$H31&amp;";*")),"Done",IF((COUNTIFS(Kiarra!$J:$J,"*;"&amp;$H31&amp;";*",Kiarra!$H:$H,"Done")+COUNTIFS(Hans!$J:$J,"*;"&amp;$H31&amp;";*",Hans!$H:$H,"Done")+COUNTIFS(Jertz!$J:$J,"*;"&amp;$H31&amp;";*",Jertz!$H:$H,"Done")+COUNTIFS(Ysa!$J:$J,"*;"&amp;$H31&amp;";*",Ysa!$H:$H,"Done"))&gt;0,"In progress","Not started")))</f>
        <v/>
      </c>
      <c r="H31" s="81" t="inlineStr">
        <is>
          <t>C02</t>
        </is>
      </c>
    </row>
    <row r="32" ht="52" customHeight="1">
      <c r="A32" s="27" t="inlineStr">
        <is>
          <t>RAG to LLM</t>
        </is>
      </c>
      <c r="B32" s="9" t="inlineStr">
        <is>
          <t>4.1.4 / 4.2</t>
        </is>
      </c>
      <c r="C32" s="9" t="inlineStr">
        <is>
          <t>-</t>
        </is>
      </c>
      <c r="D32" s="9" t="inlineStr">
        <is>
          <t>Ysa</t>
        </is>
      </c>
      <c r="E32" s="46" t="inlineStr">
        <is>
          <t>High</t>
        </is>
      </c>
      <c r="F32" s="9" t="inlineStr">
        <is>
          <t>RAG is descoped; the delivered capability is an LLM layer (GLM, OpenAI-compatible endpoint) with ai-insight, ai-explain and sandbox-command. Write the section around what was built, and state that the document knowledge base specified for RAG was never obtained.</t>
        </is>
      </c>
      <c r="G32" s="9">
        <f>IF((COUNTIF(Kiarra!$J:$J,"*;"&amp;$H32&amp;";*")+COUNTIF(Hans!$J:$J,"*;"&amp;$H32&amp;";*")+COUNTIF(Jertz!$J:$J,"*;"&amp;$H32&amp;";*")+COUNTIF(Ysa!$J:$J,"*;"&amp;$H32&amp;";*"))=0,"NOT SCHEDULED",IF((COUNTIFS(Kiarra!$J:$J,"*;"&amp;$H32&amp;";*",Kiarra!$H:$H,"Done")+COUNTIFS(Hans!$J:$J,"*;"&amp;$H32&amp;";*",Hans!$H:$H,"Done")+COUNTIFS(Jertz!$J:$J,"*;"&amp;$H32&amp;";*",Jertz!$H:$H,"Done")+COUNTIFS(Ysa!$J:$J,"*;"&amp;$H32&amp;";*",Ysa!$H:$H,"Done"))&gt;=(COUNTIF(Kiarra!$J:$J,"*;"&amp;$H32&amp;";*")+COUNTIF(Hans!$J:$J,"*;"&amp;$H32&amp;";*")+COUNTIF(Jertz!$J:$J,"*;"&amp;$H32&amp;";*")+COUNTIF(Ysa!$J:$J,"*;"&amp;$H32&amp;";*")),"Done",IF((COUNTIFS(Kiarra!$J:$J,"*;"&amp;$H32&amp;";*",Kiarra!$H:$H,"Done")+COUNTIFS(Hans!$J:$J,"*;"&amp;$H32&amp;";*",Hans!$H:$H,"Done")+COUNTIFS(Jertz!$J:$J,"*;"&amp;$H32&amp;";*",Jertz!$H:$H,"Done")+COUNTIFS(Ysa!$J:$J,"*;"&amp;$H32&amp;";*",Ysa!$H:$H,"Done"))&gt;0,"In progress","Not started")))</f>
        <v/>
      </c>
      <c r="H32" s="81" t="inlineStr">
        <is>
          <t>C03</t>
        </is>
      </c>
    </row>
    <row r="33" ht="52" customHeight="1">
      <c r="A33" s="27" t="inlineStr">
        <is>
          <t>Event surge figure</t>
        </is>
      </c>
      <c r="B33" s="9" t="inlineStr">
        <is>
          <t>4.1.4.1</t>
        </is>
      </c>
      <c r="C33" s="9" t="inlineStr">
        <is>
          <t>4.1.17</t>
        </is>
      </c>
      <c r="D33" s="9" t="inlineStr">
        <is>
          <t>Hans</t>
        </is>
      </c>
      <c r="E33" s="21" t="inlineStr">
        <is>
          <t>Critical</t>
        </is>
      </c>
      <c r="F33" s="9" t="inlineStr">
        <is>
          <t>Any 1.59x uplift is selection on the outcome. The defensible figure is 1.16x (CI 1.08-1.29) over 109 calendar events. Check the figure and the prose.</t>
        </is>
      </c>
      <c r="G33" s="9">
        <f>IF((COUNTIF(Kiarra!$J:$J,"*;"&amp;$H33&amp;";*")+COUNTIF(Hans!$J:$J,"*;"&amp;$H33&amp;";*")+COUNTIF(Jertz!$J:$J,"*;"&amp;$H33&amp;";*")+COUNTIF(Ysa!$J:$J,"*;"&amp;$H33&amp;";*"))=0,"NOT SCHEDULED",IF((COUNTIFS(Kiarra!$J:$J,"*;"&amp;$H33&amp;";*",Kiarra!$H:$H,"Done")+COUNTIFS(Hans!$J:$J,"*;"&amp;$H33&amp;";*",Hans!$H:$H,"Done")+COUNTIFS(Jertz!$J:$J,"*;"&amp;$H33&amp;";*",Jertz!$H:$H,"Done")+COUNTIFS(Ysa!$J:$J,"*;"&amp;$H33&amp;";*",Ysa!$H:$H,"Done"))&gt;=(COUNTIF(Kiarra!$J:$J,"*;"&amp;$H33&amp;";*")+COUNTIF(Hans!$J:$J,"*;"&amp;$H33&amp;";*")+COUNTIF(Jertz!$J:$J,"*;"&amp;$H33&amp;";*")+COUNTIF(Ysa!$J:$J,"*;"&amp;$H33&amp;";*")),"Done",IF((COUNTIFS(Kiarra!$J:$J,"*;"&amp;$H33&amp;";*",Kiarra!$H:$H,"Done")+COUNTIFS(Hans!$J:$J,"*;"&amp;$H33&amp;";*",Hans!$H:$H,"Done")+COUNTIFS(Jertz!$J:$J,"*;"&amp;$H33&amp;";*",Jertz!$H:$H,"Done")+COUNTIFS(Ysa!$J:$J,"*;"&amp;$H33&amp;";*",Ysa!$H:$H,"Done"))&gt;0,"In progress","Not started")))</f>
        <v/>
      </c>
      <c r="H33" s="81" t="inlineStr">
        <is>
          <t>C04</t>
        </is>
      </c>
    </row>
    <row r="34" ht="52" customHeight="1">
      <c r="A34" s="27" t="inlineStr">
        <is>
          <t>Table 4.1.4 benchmarks</t>
        </is>
      </c>
      <c r="B34" s="9" t="inlineStr">
        <is>
          <t>4.1.4</t>
        </is>
      </c>
      <c r="C34" s="9" t="inlineStr">
        <is>
          <t>Table 4.1.4</t>
        </is>
      </c>
      <c r="D34" s="9" t="inlineStr">
        <is>
          <t>Hans</t>
        </is>
      </c>
      <c r="E34" s="46" t="inlineStr">
        <is>
          <t>High</t>
        </is>
      </c>
      <c r="F34" s="9" t="inlineStr">
        <is>
          <t>Every cell is [%] / [value]. Populate from the benchmarking output rather than transcribing, and keep the losing models with Selected = No, as Note 5 recommends.</t>
        </is>
      </c>
      <c r="G34" s="9">
        <f>IF((COUNTIF(Kiarra!$J:$J,"*;"&amp;$H34&amp;";*")+COUNTIF(Hans!$J:$J,"*;"&amp;$H34&amp;";*")+COUNTIF(Jertz!$J:$J,"*;"&amp;$H34&amp;";*")+COUNTIF(Ysa!$J:$J,"*;"&amp;$H34&amp;";*"))=0,"NOT SCHEDULED",IF((COUNTIFS(Kiarra!$J:$J,"*;"&amp;$H34&amp;";*",Kiarra!$H:$H,"Done")+COUNTIFS(Hans!$J:$J,"*;"&amp;$H34&amp;";*",Hans!$H:$H,"Done")+COUNTIFS(Jertz!$J:$J,"*;"&amp;$H34&amp;";*",Jertz!$H:$H,"Done")+COUNTIFS(Ysa!$J:$J,"*;"&amp;$H34&amp;";*",Ysa!$H:$H,"Done"))&gt;=(COUNTIF(Kiarra!$J:$J,"*;"&amp;$H34&amp;";*")+COUNTIF(Hans!$J:$J,"*;"&amp;$H34&amp;";*")+COUNTIF(Jertz!$J:$J,"*;"&amp;$H34&amp;";*")+COUNTIF(Ysa!$J:$J,"*;"&amp;$H34&amp;";*")),"Done",IF((COUNTIFS(Kiarra!$J:$J,"*;"&amp;$H34&amp;";*",Kiarra!$H:$H,"Done")+COUNTIFS(Hans!$J:$J,"*;"&amp;$H34&amp;";*",Hans!$H:$H,"Done")+COUNTIFS(Jertz!$J:$J,"*;"&amp;$H34&amp;";*",Jertz!$H:$H,"Done")+COUNTIFS(Ysa!$J:$J,"*;"&amp;$H34&amp;";*",Ysa!$H:$H,"Done"))&gt;0,"In progress","Not started")))</f>
        <v/>
      </c>
      <c r="H34" s="81" t="inlineStr">
        <is>
          <t>C05</t>
        </is>
      </c>
    </row>
    <row r="35" ht="52" customHeight="1">
      <c r="A35" s="27" t="inlineStr">
        <is>
          <t>Table 4.1.3 record counts</t>
        </is>
      </c>
      <c r="B35" s="9" t="inlineStr">
        <is>
          <t>4.1.2</t>
        </is>
      </c>
      <c r="C35" s="9" t="inlineStr">
        <is>
          <t>Table 4.1.3</t>
        </is>
      </c>
      <c r="D35" s="9" t="inlineStr">
        <is>
          <t>Hans</t>
        </is>
      </c>
      <c r="E35" s="46" t="inlineStr">
        <is>
          <t>High</t>
        </is>
      </c>
      <c r="F35" s="9" t="inlineStr">
        <is>
          <t>Entirely [n] placeholders. These are countable from the warehouse directly.</t>
        </is>
      </c>
      <c r="G35" s="9">
        <f>IF((COUNTIF(Kiarra!$J:$J,"*;"&amp;$H35&amp;";*")+COUNTIF(Hans!$J:$J,"*;"&amp;$H35&amp;";*")+COUNTIF(Jertz!$J:$J,"*;"&amp;$H35&amp;";*")+COUNTIF(Ysa!$J:$J,"*;"&amp;$H35&amp;";*"))=0,"NOT SCHEDULED",IF((COUNTIFS(Kiarra!$J:$J,"*;"&amp;$H35&amp;";*",Kiarra!$H:$H,"Done")+COUNTIFS(Hans!$J:$J,"*;"&amp;$H35&amp;";*",Hans!$H:$H,"Done")+COUNTIFS(Jertz!$J:$J,"*;"&amp;$H35&amp;";*",Jertz!$H:$H,"Done")+COUNTIFS(Ysa!$J:$J,"*;"&amp;$H35&amp;";*",Ysa!$H:$H,"Done"))&gt;=(COUNTIF(Kiarra!$J:$J,"*;"&amp;$H35&amp;";*")+COUNTIF(Hans!$J:$J,"*;"&amp;$H35&amp;";*")+COUNTIF(Jertz!$J:$J,"*;"&amp;$H35&amp;";*")+COUNTIF(Ysa!$J:$J,"*;"&amp;$H35&amp;";*")),"Done",IF((COUNTIFS(Kiarra!$J:$J,"*;"&amp;$H35&amp;";*",Kiarra!$H:$H,"Done")+COUNTIFS(Hans!$J:$J,"*;"&amp;$H35&amp;";*",Hans!$H:$H,"Done")+COUNTIFS(Jertz!$J:$J,"*;"&amp;$H35&amp;";*",Jertz!$H:$H,"Done")+COUNTIFS(Ysa!$J:$J,"*;"&amp;$H35&amp;";*",Ysa!$H:$H,"Done"))&gt;0,"In progress","Not started")))</f>
        <v/>
      </c>
      <c r="H35" s="81" t="inlineStr">
        <is>
          <t>C06</t>
        </is>
      </c>
    </row>
    <row r="36" ht="52" customHeight="1">
      <c r="A36" s="27" t="inlineStr">
        <is>
          <t>Bracketed placeholders</t>
        </is>
      </c>
      <c r="B36" s="9" t="inlineStr">
        <is>
          <t>throughout 4.1</t>
        </is>
      </c>
      <c r="C36" s="9" t="inlineStr">
        <is>
          <t>-</t>
        </is>
      </c>
      <c r="D36" s="9" t="inlineStr">
        <is>
          <t>Kiarra</t>
        </is>
      </c>
      <c r="E36" s="46" t="inlineStr">
        <is>
          <t>High</t>
        </is>
      </c>
      <c r="F36" s="9" t="inlineStr">
        <is>
          <t>Every [insert number] / [insert percentage] needs a real value, and Note 1 warns that the sentence around each one may need rewording where the data contradicts the placeholder phrasing.</t>
        </is>
      </c>
      <c r="G36" s="9">
        <f>IF((COUNTIF(Kiarra!$J:$J,"*;"&amp;$H36&amp;";*")+COUNTIF(Hans!$J:$J,"*;"&amp;$H36&amp;";*")+COUNTIF(Jertz!$J:$J,"*;"&amp;$H36&amp;";*")+COUNTIF(Ysa!$J:$J,"*;"&amp;$H36&amp;";*"))=0,"NOT SCHEDULED",IF((COUNTIFS(Kiarra!$J:$J,"*;"&amp;$H36&amp;";*",Kiarra!$H:$H,"Done")+COUNTIFS(Hans!$J:$J,"*;"&amp;$H36&amp;";*",Hans!$H:$H,"Done")+COUNTIFS(Jertz!$J:$J,"*;"&amp;$H36&amp;";*",Jertz!$H:$H,"Done")+COUNTIFS(Ysa!$J:$J,"*;"&amp;$H36&amp;";*",Ysa!$H:$H,"Done"))&gt;=(COUNTIF(Kiarra!$J:$J,"*;"&amp;$H36&amp;";*")+COUNTIF(Hans!$J:$J,"*;"&amp;$H36&amp;";*")+COUNTIF(Jertz!$J:$J,"*;"&amp;$H36&amp;";*")+COUNTIF(Ysa!$J:$J,"*;"&amp;$H36&amp;";*")),"Done",IF((COUNTIFS(Kiarra!$J:$J,"*;"&amp;$H36&amp;";*",Kiarra!$H:$H,"Done")+COUNTIFS(Hans!$J:$J,"*;"&amp;$H36&amp;";*",Hans!$H:$H,"Done")+COUNTIFS(Jertz!$J:$J,"*;"&amp;$H36&amp;";*",Jertz!$H:$H,"Done")+COUNTIFS(Ysa!$J:$J,"*;"&amp;$H36&amp;";*",Ysa!$H:$H,"Done"))&gt;0,"In progress","Not started")))</f>
        <v/>
      </c>
      <c r="H36" s="81" t="inlineStr">
        <is>
          <t>C07</t>
        </is>
      </c>
    </row>
    <row r="37" ht="52" customHeight="1">
      <c r="A37" s="27" t="inlineStr">
        <is>
          <t>Tailwind deviation</t>
        </is>
      </c>
      <c r="B37" s="9" t="inlineStr">
        <is>
          <t>4.2.1.6</t>
        </is>
      </c>
      <c r="C37" s="9" t="inlineStr">
        <is>
          <t>-</t>
        </is>
      </c>
      <c r="D37" s="9" t="inlineStr">
        <is>
          <t>Kiarra</t>
        </is>
      </c>
      <c r="E37" s="27" t="inlineStr">
        <is>
          <t>Medium</t>
        </is>
      </c>
      <c r="F37" s="9" t="inlineStr">
        <is>
          <t>Section 3.7 specifies tailwind.config.js; the delivered system uses CSS custom properties. Already drafted in the 4.2 section - carry the note into the Notes for the Group as item 7.</t>
        </is>
      </c>
      <c r="G37" s="9">
        <f>IF((COUNTIF(Kiarra!$J:$J,"*;"&amp;$H37&amp;";*")+COUNTIF(Hans!$J:$J,"*;"&amp;$H37&amp;";*")+COUNTIF(Jertz!$J:$J,"*;"&amp;$H37&amp;";*")+COUNTIF(Ysa!$J:$J,"*;"&amp;$H37&amp;";*"))=0,"NOT SCHEDULED",IF((COUNTIFS(Kiarra!$J:$J,"*;"&amp;$H37&amp;";*",Kiarra!$H:$H,"Done")+COUNTIFS(Hans!$J:$J,"*;"&amp;$H37&amp;";*",Hans!$H:$H,"Done")+COUNTIFS(Jertz!$J:$J,"*;"&amp;$H37&amp;";*",Jertz!$H:$H,"Done")+COUNTIFS(Ysa!$J:$J,"*;"&amp;$H37&amp;";*",Ysa!$H:$H,"Done"))&gt;=(COUNTIF(Kiarra!$J:$J,"*;"&amp;$H37&amp;";*")+COUNTIF(Hans!$J:$J,"*;"&amp;$H37&amp;";*")+COUNTIF(Jertz!$J:$J,"*;"&amp;$H37&amp;";*")+COUNTIF(Ysa!$J:$J,"*;"&amp;$H37&amp;";*")),"Done",IF((COUNTIFS(Kiarra!$J:$J,"*;"&amp;$H37&amp;";*",Kiarra!$H:$H,"Done")+COUNTIFS(Hans!$J:$J,"*;"&amp;$H37&amp;";*",Hans!$H:$H,"Done")+COUNTIFS(Jertz!$J:$J,"*;"&amp;$H37&amp;";*",Jertz!$H:$H,"Done")+COUNTIFS(Ysa!$J:$J,"*;"&amp;$H37&amp;";*",Ysa!$H:$H,"Done"))&gt;0,"In progress","Not started")))</f>
        <v/>
      </c>
      <c r="H37" s="81" t="inlineStr">
        <is>
          <t>C08</t>
        </is>
      </c>
    </row>
    <row r="38" ht="52" customHeight="1">
      <c r="A38" s="27" t="inlineStr">
        <is>
          <t>Unbuilt prescriptive items</t>
        </is>
      </c>
      <c r="B38" s="9" t="inlineStr">
        <is>
          <t>4.1.5</t>
        </is>
      </c>
      <c r="C38" s="9" t="inlineStr">
        <is>
          <t>4.1.24, 4.1.25, 4.1.26, 4.1.28</t>
        </is>
      </c>
      <c r="D38" s="9" t="inlineStr">
        <is>
          <t>Jertz</t>
        </is>
      </c>
      <c r="E38" s="27" t="inlineStr">
        <is>
          <t>Medium</t>
        </is>
      </c>
      <c r="F38" s="9" t="inlineStr">
        <is>
          <t>The draft already notes these: no LP toll-lane optimizer, no variable speed limit panel, no weather/surge alert panel, no TOPSIS ranking. Decide per figure whether to keep the note, retitle to what shipped, or drop the item.</t>
        </is>
      </c>
      <c r="G38" s="9">
        <f>IF((COUNTIF(Kiarra!$J:$J,"*;"&amp;$H38&amp;";*")+COUNTIF(Hans!$J:$J,"*;"&amp;$H38&amp;";*")+COUNTIF(Jertz!$J:$J,"*;"&amp;$H38&amp;";*")+COUNTIF(Ysa!$J:$J,"*;"&amp;$H38&amp;";*"))=0,"NOT SCHEDULED",IF((COUNTIFS(Kiarra!$J:$J,"*;"&amp;$H38&amp;";*",Kiarra!$H:$H,"Done")+COUNTIFS(Hans!$J:$J,"*;"&amp;$H38&amp;";*",Hans!$H:$H,"Done")+COUNTIFS(Jertz!$J:$J,"*;"&amp;$H38&amp;";*",Jertz!$H:$H,"Done")+COUNTIFS(Ysa!$J:$J,"*;"&amp;$H38&amp;";*",Ysa!$H:$H,"Done"))&gt;=(COUNTIF(Kiarra!$J:$J,"*;"&amp;$H38&amp;";*")+COUNTIF(Hans!$J:$J,"*;"&amp;$H38&amp;";*")+COUNTIF(Jertz!$J:$J,"*;"&amp;$H38&amp;";*")+COUNTIF(Ysa!$J:$J,"*;"&amp;$H38&amp;";*")),"Done",IF((COUNTIFS(Kiarra!$J:$J,"*;"&amp;$H38&amp;";*",Kiarra!$H:$H,"Done")+COUNTIFS(Hans!$J:$J,"*;"&amp;$H38&amp;";*",Hans!$H:$H,"Done")+COUNTIFS(Jertz!$J:$J,"*;"&amp;$H38&amp;";*",Jertz!$H:$H,"Done")+COUNTIFS(Ysa!$J:$J,"*;"&amp;$H38&amp;";*",Ysa!$H:$H,"Done"))&gt;0,"In progress","Not started")))</f>
        <v/>
      </c>
      <c r="H38" s="81" t="inlineStr">
        <is>
          <t>C09</t>
        </is>
      </c>
    </row>
    <row r="39" ht="52" customHeight="1">
      <c r="A39" s="27" t="inlineStr">
        <is>
          <t>Unbuilt descriptive items</t>
        </is>
      </c>
      <c r="B39" s="9" t="inlineStr">
        <is>
          <t>4.1.3</t>
        </is>
      </c>
      <c r="C39" s="9" t="inlineStr">
        <is>
          <t>4.1.5, 4.1.9</t>
        </is>
      </c>
      <c r="D39" s="9" t="inlineStr">
        <is>
          <t>Hans</t>
        </is>
      </c>
      <c r="E39" s="27" t="inlineStr">
        <is>
          <t>Medium</t>
        </is>
      </c>
      <c r="F39" s="9" t="inlineStr">
        <is>
          <t>No Speed-Flow fundamental diagram (Underwood) and no Mapbox KDE / Getis-Ord heat layer in the build. Same decision per figure.</t>
        </is>
      </c>
      <c r="G39" s="9">
        <f>IF((COUNTIF(Kiarra!$J:$J,"*;"&amp;$H39&amp;";*")+COUNTIF(Hans!$J:$J,"*;"&amp;$H39&amp;";*")+COUNTIF(Jertz!$J:$J,"*;"&amp;$H39&amp;";*")+COUNTIF(Ysa!$J:$J,"*;"&amp;$H39&amp;";*"))=0,"NOT SCHEDULED",IF((COUNTIFS(Kiarra!$J:$J,"*;"&amp;$H39&amp;";*",Kiarra!$H:$H,"Done")+COUNTIFS(Hans!$J:$J,"*;"&amp;$H39&amp;";*",Hans!$H:$H,"Done")+COUNTIFS(Jertz!$J:$J,"*;"&amp;$H39&amp;";*",Jertz!$H:$H,"Done")+COUNTIFS(Ysa!$J:$J,"*;"&amp;$H39&amp;";*",Ysa!$H:$H,"Done"))&gt;=(COUNTIF(Kiarra!$J:$J,"*;"&amp;$H39&amp;";*")+COUNTIF(Hans!$J:$J,"*;"&amp;$H39&amp;";*")+COUNTIF(Jertz!$J:$J,"*;"&amp;$H39&amp;";*")+COUNTIF(Ysa!$J:$J,"*;"&amp;$H39&amp;";*")),"Done",IF((COUNTIFS(Kiarra!$J:$J,"*;"&amp;$H39&amp;";*",Kiarra!$H:$H,"Done")+COUNTIFS(Hans!$J:$J,"*;"&amp;$H39&amp;";*",Hans!$H:$H,"Done")+COUNTIFS(Jertz!$J:$J,"*;"&amp;$H39&amp;";*",Jertz!$H:$H,"Done")+COUNTIFS(Ysa!$J:$J,"*;"&amp;$H39&amp;";*",Ysa!$H:$H,"Done"))&gt;0,"In progress","Not started")))</f>
        <v/>
      </c>
      <c r="H39" s="81" t="inlineStr">
        <is>
          <t>C10</t>
        </is>
      </c>
    </row>
    <row r="40" ht="52" customHeight="1">
      <c r="A40" s="27" t="inlineStr">
        <is>
          <t>Testing + discussion</t>
        </is>
      </c>
      <c r="B40" s="9" t="inlineStr">
        <is>
          <t>4.3 / 4.4</t>
        </is>
      </c>
      <c r="C40" s="9" t="inlineStr">
        <is>
          <t>-</t>
        </is>
      </c>
      <c r="D40" s="9" t="inlineStr">
        <is>
          <t>Jertz</t>
        </is>
      </c>
      <c r="E40" s="46" t="inlineStr">
        <is>
          <t>High</t>
        </is>
      </c>
      <c r="F40" s="9" t="inlineStr">
        <is>
          <t>Note 6: Chapter 4 still needs Unit, Stress and User-Acceptance Test results from Section 3.13, plus a discussion interpreting results against the objectives. Neither is drafted.</t>
        </is>
      </c>
      <c r="G40" s="9">
        <f>IF((COUNTIF(Kiarra!$J:$J,"*;"&amp;$H40&amp;";*")+COUNTIF(Hans!$J:$J,"*;"&amp;$H40&amp;";*")+COUNTIF(Jertz!$J:$J,"*;"&amp;$H40&amp;";*")+COUNTIF(Ysa!$J:$J,"*;"&amp;$H40&amp;";*"))=0,"NOT SCHEDULED",IF((COUNTIFS(Kiarra!$J:$J,"*;"&amp;$H40&amp;";*",Kiarra!$H:$H,"Done")+COUNTIFS(Hans!$J:$J,"*;"&amp;$H40&amp;";*",Hans!$H:$H,"Done")+COUNTIFS(Jertz!$J:$J,"*;"&amp;$H40&amp;";*",Jertz!$H:$H,"Done")+COUNTIFS(Ysa!$J:$J,"*;"&amp;$H40&amp;";*",Ysa!$H:$H,"Done"))&gt;=(COUNTIF(Kiarra!$J:$J,"*;"&amp;$H40&amp;";*")+COUNTIF(Hans!$J:$J,"*;"&amp;$H40&amp;";*")+COUNTIF(Jertz!$J:$J,"*;"&amp;$H40&amp;";*")+COUNTIF(Ysa!$J:$J,"*;"&amp;$H40&amp;";*")),"Done",IF((COUNTIFS(Kiarra!$J:$J,"*;"&amp;$H40&amp;";*",Kiarra!$H:$H,"Done")+COUNTIFS(Hans!$J:$J,"*;"&amp;$H40&amp;";*",Hans!$H:$H,"Done")+COUNTIFS(Jertz!$J:$J,"*;"&amp;$H40&amp;";*",Jertz!$H:$H,"Done")+COUNTIFS(Ysa!$J:$J,"*;"&amp;$H40&amp;";*",Ysa!$H:$H,"Done"))&gt;0,"In progress","Not started")))</f>
        <v/>
      </c>
      <c r="H40" s="81" t="inlineStr">
        <is>
          <t>C11</t>
        </is>
      </c>
    </row>
  </sheetData>
  <mergeCells count="14">
    <mergeCell ref="A20:B20"/>
    <mergeCell ref="A21:B21"/>
    <mergeCell ref="C21:G21"/>
    <mergeCell ref="C20:G20"/>
    <mergeCell ref="A18:G18"/>
    <mergeCell ref="A27:G27"/>
    <mergeCell ref="A19:B19"/>
    <mergeCell ref="A26:G26"/>
    <mergeCell ref="C19:G19"/>
    <mergeCell ref="A2:G2"/>
    <mergeCell ref="C23:G23"/>
    <mergeCell ref="A23:B23"/>
    <mergeCell ref="C22:G22"/>
    <mergeCell ref="A22:B22"/>
  </mergeCells>
  <dataValidations count="2">
    <dataValidation sqref="G5:G16" showDropDown="0" showInputMessage="0" showErrorMessage="0" allowBlank="1" type="list">
      <formula1>"Not started,In progress,Done,Not needed"</formula1>
    </dataValidation>
    <dataValidation sqref="G30:G40" showDropDown="0" showInputMessage="0" showErrorMessage="0" allowBlank="1" type="list">
      <formula1>"Not started,In progress,Done,Not needed"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2"/>
  <sheetViews>
    <sheetView workbookViewId="0">
      <selection activeCell="A1" sqref="A1"/>
    </sheetView>
  </sheetViews>
  <sheetFormatPr baseColWidth="8" defaultRowHeight="15"/>
  <cols>
    <col width="26" customWidth="1" min="1" max="1"/>
    <col width="14" customWidth="1" min="2" max="2"/>
    <col width="14" customWidth="1" min="3" max="3"/>
    <col width="14" customWidth="1" min="4" max="4"/>
    <col width="14" customWidth="1" min="5" max="5"/>
    <col width="40" customWidth="1" min="6" max="6"/>
  </cols>
  <sheetData>
    <row r="1">
      <c r="A1" s="20" t="inlineStr">
        <is>
          <t>Tracker - live</t>
        </is>
      </c>
    </row>
    <row r="2">
      <c r="A2" s="2" t="inlineStr">
        <is>
          <t>Reads the other sheets. Nothing to edit here.</t>
        </is>
      </c>
    </row>
    <row r="4" ht="24" customHeight="1">
      <c r="A4" s="5" t="inlineStr">
        <is>
          <t>Track</t>
        </is>
      </c>
      <c r="B4" s="5" t="inlineStr">
        <is>
          <t>Allocated %</t>
        </is>
      </c>
      <c r="C4" s="5" t="inlineStr">
        <is>
          <t>Actual %</t>
        </is>
      </c>
      <c r="D4" s="5" t="inlineStr">
        <is>
          <t>Points to gain</t>
        </is>
      </c>
      <c r="E4" s="5" t="inlineStr">
        <is>
          <t>% complete</t>
        </is>
      </c>
      <c r="F4" s="5" t="inlineStr">
        <is>
          <t>Target</t>
        </is>
      </c>
    </row>
    <row r="5">
      <c r="A5" s="6" t="inlineStr">
        <is>
          <t>SYSTEM (code)</t>
        </is>
      </c>
      <c r="B5" s="15">
        <f>'Priority Board'!E35</f>
        <v/>
      </c>
      <c r="C5" s="15">
        <f>'Priority Board'!H35</f>
        <v/>
      </c>
      <c r="D5" s="16">
        <f>B5-C5</f>
        <v/>
      </c>
      <c r="E5" s="48">
        <f>IFERROR(C5/B5,0)</f>
        <v/>
      </c>
      <c r="F5" s="7" t="inlineStr">
        <is>
          <t>90% by Tue Oct 6. Reads the Priority Board.</t>
        </is>
      </c>
    </row>
    <row r="6">
      <c r="A6" s="6" t="inlineStr">
        <is>
          <t>MANUSCRIPT</t>
        </is>
      </c>
      <c r="B6" s="15">
        <f>Manuscript!E12</f>
        <v/>
      </c>
      <c r="C6" s="15">
        <f>Manuscript!J12</f>
        <v/>
      </c>
      <c r="D6" s="16">
        <f>B6-C6</f>
        <v/>
      </c>
      <c r="E6" s="48">
        <f>IFERROR(C6/B6,0)</f>
        <v/>
      </c>
      <c r="F6" s="7" t="inlineStr">
        <is>
          <t>10% by Thu Oct 8. Reads the Manuscript sheet.</t>
        </is>
      </c>
    </row>
    <row r="7">
      <c r="A7" s="10" t="inlineStr">
        <is>
          <t>WHOLE PROJECT</t>
        </is>
      </c>
      <c r="B7" s="17">
        <f>SUM(B5:B6)</f>
        <v/>
      </c>
      <c r="C7" s="17">
        <f>SUM(C5:C6)</f>
        <v/>
      </c>
      <c r="D7" s="17">
        <f>B7-C7</f>
        <v/>
      </c>
      <c r="E7" s="11">
        <f>IFERROR(C7/B7,0)</f>
        <v/>
      </c>
      <c r="F7" s="18" t="n"/>
    </row>
    <row r="9">
      <c r="A9" s="3" t="inlineStr">
        <is>
          <t>BY MEMBER</t>
        </is>
      </c>
    </row>
    <row r="10" ht="24" customHeight="1">
      <c r="A10" s="5" t="inlineStr">
        <is>
          <t>Member</t>
        </is>
      </c>
      <c r="B10" s="5" t="inlineStr">
        <is>
          <t>Code pts left</t>
        </is>
      </c>
      <c r="C10" s="5" t="inlineStr">
        <is>
          <t>MS pts left</t>
        </is>
      </c>
      <c r="D10" s="5" t="inlineStr">
        <is>
          <t>Total left</t>
        </is>
      </c>
      <c r="E10" s="5" t="inlineStr"/>
      <c r="F10" s="5" t="inlineStr"/>
    </row>
    <row r="11">
      <c r="A11" s="6" t="inlineStr">
        <is>
          <t>Kiarra</t>
        </is>
      </c>
      <c r="B11" s="15">
        <f>SUMIF('Priority Board'!D:D,A11,'Priority Board'!I:I)</f>
        <v/>
      </c>
      <c r="C11" s="15">
        <f>SUMIF(Manuscript!D:D,A11,Manuscript!G:G)</f>
        <v/>
      </c>
      <c r="D11" s="16">
        <f>B11+C11</f>
        <v/>
      </c>
      <c r="E11" s="49" t="n"/>
      <c r="F11" s="49" t="n"/>
    </row>
    <row r="12">
      <c r="A12" s="6" t="inlineStr">
        <is>
          <t>Hans</t>
        </is>
      </c>
      <c r="B12" s="15">
        <f>SUMIF('Priority Board'!D:D,A12,'Priority Board'!I:I)</f>
        <v/>
      </c>
      <c r="C12" s="15">
        <f>SUMIF(Manuscript!D:D,A12,Manuscript!G:G)</f>
        <v/>
      </c>
      <c r="D12" s="16">
        <f>B12+C12</f>
        <v/>
      </c>
      <c r="E12" s="49" t="n"/>
      <c r="F12" s="49" t="n"/>
    </row>
    <row r="13">
      <c r="A13" s="6" t="inlineStr">
        <is>
          <t>Jertz</t>
        </is>
      </c>
      <c r="B13" s="15">
        <f>SUMIF('Priority Board'!D:D,A13,'Priority Board'!I:I)</f>
        <v/>
      </c>
      <c r="C13" s="15">
        <f>SUMIF(Manuscript!D:D,A13,Manuscript!G:G)</f>
        <v/>
      </c>
      <c r="D13" s="16">
        <f>B13+C13</f>
        <v/>
      </c>
      <c r="E13" s="49" t="n"/>
      <c r="F13" s="49" t="n"/>
    </row>
    <row r="14">
      <c r="A14" s="6" t="inlineStr">
        <is>
          <t>Ysa</t>
        </is>
      </c>
      <c r="B14" s="15">
        <f>SUMIF('Priority Board'!D:D,A14,'Priority Board'!I:I)</f>
        <v/>
      </c>
      <c r="C14" s="15">
        <f>SUMIF(Manuscript!D:D,A14,Manuscript!G:G)</f>
        <v/>
      </c>
      <c r="D14" s="16">
        <f>B14+C14</f>
        <v/>
      </c>
      <c r="E14" s="49" t="n"/>
      <c r="F14" s="49" t="n"/>
    </row>
    <row r="16">
      <c r="A16" s="3" t="inlineStr">
        <is>
          <t>DAILY HOURS</t>
        </is>
      </c>
    </row>
    <row r="17" ht="24" customHeight="1">
      <c r="A17" s="5" t="inlineStr">
        <is>
          <t>Date</t>
        </is>
      </c>
      <c r="B17" s="5" t="inlineStr">
        <is>
          <t>Day</t>
        </is>
      </c>
      <c r="C17" s="5" t="inlineStr">
        <is>
          <t>Code h</t>
        </is>
      </c>
      <c r="D17" s="5" t="inlineStr">
        <is>
          <t>MS h</t>
        </is>
      </c>
      <c r="E17" s="5" t="inlineStr">
        <is>
          <t>Cum. code</t>
        </is>
      </c>
      <c r="F17" s="5" t="inlineStr">
        <is>
          <t>Cum. MS</t>
        </is>
      </c>
    </row>
    <row r="18">
      <c r="A18" s="7" t="inlineStr">
        <is>
          <t>2026-09-29</t>
        </is>
      </c>
      <c r="B18" s="7" t="inlineStr">
        <is>
          <t>Tue</t>
        </is>
      </c>
      <c r="C18" s="7" t="n">
        <v>10.5</v>
      </c>
      <c r="D18" s="7" t="n">
        <v>2</v>
      </c>
      <c r="E18" s="7">
        <f>C18</f>
        <v/>
      </c>
      <c r="F18" s="7">
        <f>D18</f>
        <v/>
      </c>
    </row>
    <row r="19">
      <c r="A19" s="7" t="inlineStr">
        <is>
          <t>2026-09-30</t>
        </is>
      </c>
      <c r="B19" s="7" t="inlineStr">
        <is>
          <t>Wed</t>
        </is>
      </c>
      <c r="C19" s="7" t="n">
        <v>10.5</v>
      </c>
      <c r="D19" s="7" t="n">
        <v>2</v>
      </c>
      <c r="E19" s="7">
        <f>E18+C19</f>
        <v/>
      </c>
      <c r="F19" s="7">
        <f>F18+D19</f>
        <v/>
      </c>
    </row>
    <row r="20">
      <c r="A20" s="7" t="inlineStr">
        <is>
          <t>2026-10-01</t>
        </is>
      </c>
      <c r="B20" s="7" t="inlineStr">
        <is>
          <t>Thu</t>
        </is>
      </c>
      <c r="C20" s="7" t="n">
        <v>9.5</v>
      </c>
      <c r="D20" s="7" t="n">
        <v>3</v>
      </c>
      <c r="E20" s="7">
        <f>E19+C20</f>
        <v/>
      </c>
      <c r="F20" s="7">
        <f>F19+D20</f>
        <v/>
      </c>
    </row>
    <row r="21">
      <c r="A21" s="7" t="inlineStr">
        <is>
          <t>2026-10-02</t>
        </is>
      </c>
      <c r="B21" s="7" t="inlineStr">
        <is>
          <t>Fri</t>
        </is>
      </c>
      <c r="C21" s="7" t="n">
        <v>9.5</v>
      </c>
      <c r="D21" s="7" t="n">
        <v>3</v>
      </c>
      <c r="E21" s="7">
        <f>E20+C21</f>
        <v/>
      </c>
      <c r="F21" s="7">
        <f>F20+D21</f>
        <v/>
      </c>
    </row>
    <row r="22">
      <c r="A22" s="7" t="inlineStr">
        <is>
          <t>2026-10-03</t>
        </is>
      </c>
      <c r="B22" s="7" t="inlineStr">
        <is>
          <t>Sat</t>
        </is>
      </c>
      <c r="C22" s="7" t="n">
        <v>8.5</v>
      </c>
      <c r="D22" s="7" t="n">
        <v>4</v>
      </c>
      <c r="E22" s="7">
        <f>E21+C22</f>
        <v/>
      </c>
      <c r="F22" s="7">
        <f>F21+D22</f>
        <v/>
      </c>
    </row>
    <row r="23">
      <c r="A23" s="7" t="inlineStr">
        <is>
          <t>2026-10-04</t>
        </is>
      </c>
      <c r="B23" s="7" t="inlineStr">
        <is>
          <t>Sun</t>
        </is>
      </c>
      <c r="C23" s="7" t="n">
        <v>8.5</v>
      </c>
      <c r="D23" s="7" t="n">
        <v>4</v>
      </c>
      <c r="E23" s="7">
        <f>E22+C23</f>
        <v/>
      </c>
      <c r="F23" s="7">
        <f>F22+D23</f>
        <v/>
      </c>
    </row>
    <row r="24">
      <c r="A24" s="7" t="inlineStr">
        <is>
          <t>2026-10-05</t>
        </is>
      </c>
      <c r="B24" s="7" t="inlineStr">
        <is>
          <t>Mon</t>
        </is>
      </c>
      <c r="C24" s="7" t="n">
        <v>6.5</v>
      </c>
      <c r="D24" s="7" t="n">
        <v>6</v>
      </c>
      <c r="E24" s="7">
        <f>E23+C24</f>
        <v/>
      </c>
      <c r="F24" s="7">
        <f>F23+D24</f>
        <v/>
      </c>
    </row>
    <row r="25">
      <c r="A25" s="7" t="inlineStr">
        <is>
          <t>2026-10-06</t>
        </is>
      </c>
      <c r="B25" s="7" t="inlineStr">
        <is>
          <t>Tue</t>
        </is>
      </c>
      <c r="C25" s="7" t="n">
        <v>4.5</v>
      </c>
      <c r="D25" s="7" t="n">
        <v>8</v>
      </c>
      <c r="E25" s="7">
        <f>E24+C25</f>
        <v/>
      </c>
      <c r="F25" s="7">
        <f>F24+D25</f>
        <v/>
      </c>
    </row>
    <row r="26">
      <c r="A26" s="7" t="inlineStr">
        <is>
          <t>2026-10-07</t>
        </is>
      </c>
      <c r="B26" s="7" t="inlineStr">
        <is>
          <t>Wed</t>
        </is>
      </c>
      <c r="C26" s="7" t="n">
        <v>2.5</v>
      </c>
      <c r="D26" s="7" t="n">
        <v>10</v>
      </c>
      <c r="E26" s="7">
        <f>E25+C26</f>
        <v/>
      </c>
      <c r="F26" s="7">
        <f>F25+D26</f>
        <v/>
      </c>
    </row>
    <row r="27">
      <c r="A27" s="7" t="inlineStr">
        <is>
          <t>2026-10-08</t>
        </is>
      </c>
      <c r="B27" s="7" t="inlineStr">
        <is>
          <t>Thu</t>
        </is>
      </c>
      <c r="C27" s="7" t="n">
        <v>0</v>
      </c>
      <c r="D27" s="7" t="n">
        <v>12.5</v>
      </c>
      <c r="E27" s="7">
        <f>E26+C27</f>
        <v/>
      </c>
      <c r="F27" s="7">
        <f>F26+D27</f>
        <v/>
      </c>
    </row>
    <row r="28">
      <c r="A28" s="10" t="inlineStr">
        <is>
          <t>TOTAL</t>
        </is>
      </c>
      <c r="B28" s="18" t="n"/>
      <c r="C28" s="10">
        <f>SUM(C18:C27)</f>
        <v/>
      </c>
      <c r="D28" s="10">
        <f>SUM(D18:D27)</f>
        <v/>
      </c>
      <c r="E28" s="18" t="n"/>
      <c r="F28" s="18" t="n"/>
    </row>
    <row r="30">
      <c r="A30" s="19" t="inlineStr">
        <is>
          <t>Live, and connected end to end. Tick Status = Done on any daily block and the task it Feeds gains a share of its weight; the Priority Board and this sheet follow. Done? on a task counts it in full and overrides the blocks. Blocks marked (overhead) - QA, freeze, defect fixing, figure capture - carry no weight, because the acceptance criteria allocate none to them.</t>
        </is>
      </c>
    </row>
    <row r="31"/>
    <row r="32"/>
  </sheetData>
  <mergeCells count="2">
    <mergeCell ref="A30:F32"/>
    <mergeCell ref="A30:F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2026-09-28T17:03:28Z</dcterms:created>
  <dcterms:modified xmlns:dcterms="http://purl.org/dc/terms/" xmlns:xsi="http://www.w3.org/2001/XMLSchema-instance" xsi:type="dcterms:W3CDTF">2026-10-15T13:48:32Z</dcterms:modified>
</cp:coreProperties>
</file>