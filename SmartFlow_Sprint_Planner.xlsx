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5"/>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INCIDENTFC</t>
        </is>
      </c>
      <c r="B5" s="22" t="inlineStr">
        <is>
          <t>Incident Predictive Model</t>
        </is>
      </c>
      <c r="C5" s="22" t="inlineStr">
        <is>
          <t>MOD-ANA</t>
        </is>
      </c>
      <c r="D5" s="22" t="inlineStr">
        <is>
          <t>Jertz</t>
        </is>
      </c>
      <c r="E5" s="23" t="n">
        <v>2.832</v>
      </c>
      <c r="F5" s="24" t="n">
        <v>0</v>
      </c>
      <c r="G5" s="57" t="inlineStr">
        <is>
          <t>N</t>
        </is>
      </c>
      <c r="H5" s="23">
        <f>IF(UPPER(G5)="Y",E5,IF(N5=0,F5,F5+(E5-F5)*M5/N5))</f>
        <v/>
      </c>
      <c r="I5" s="25">
        <f>E5-H5</f>
        <v/>
      </c>
      <c r="J5" s="26">
        <f>IFERROR(H5/E5,0)</f>
        <v/>
      </c>
      <c r="K5" s="22" t="inlineStr">
        <is>
          <t>Sep 29 - Oct 3</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7" t="inlineStr">
        <is>
          <t>MODEVAL</t>
        </is>
      </c>
      <c r="B6" s="9" t="inlineStr">
        <is>
          <t>Model Evaluation &amp; Validation</t>
        </is>
      </c>
      <c r="C6" s="9" t="inlineStr">
        <is>
          <t>MOD-ANA</t>
        </is>
      </c>
      <c r="D6" s="9" t="inlineStr">
        <is>
          <t>Hans</t>
        </is>
      </c>
      <c r="E6" s="28" t="n">
        <v>4.406</v>
      </c>
      <c r="F6" s="29" t="n">
        <v>1.888</v>
      </c>
      <c r="G6" s="38" t="inlineStr">
        <is>
          <t>N</t>
        </is>
      </c>
      <c r="H6" s="28">
        <f>IF(UPPER(G6)="Y",E6,IF(N6=0,F6,F6+(E6-F6)*M6/N6))</f>
        <v/>
      </c>
      <c r="I6" s="30">
        <f>E6-H6</f>
        <v/>
      </c>
      <c r="J6" s="31">
        <f>IFERROR(H6/E6,0)</f>
        <v/>
      </c>
      <c r="K6" s="9" t="inlineStr">
        <is>
          <t>Sep 29 - Oct 3</t>
        </is>
      </c>
      <c r="L6" s="9">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PRESCRIBE</t>
        </is>
      </c>
      <c r="B7" s="22" t="inlineStr">
        <is>
          <t>Prescriptive Optimization Models</t>
        </is>
      </c>
      <c r="C7" s="22" t="inlineStr">
        <is>
          <t>MOD-ANA</t>
        </is>
      </c>
      <c r="D7" s="22" t="inlineStr">
        <is>
          <t>Hans</t>
        </is>
      </c>
      <c r="E7" s="23" t="n">
        <v>2.517</v>
      </c>
      <c r="F7" s="24" t="n">
        <v>0</v>
      </c>
      <c r="G7" s="57" t="inlineStr">
        <is>
          <t>N</t>
        </is>
      </c>
      <c r="H7" s="23">
        <f>IF(UPPER(G7)="Y",E7,IF(N7=0,F7,F7+(E7-F7)*M7/N7))</f>
        <v/>
      </c>
      <c r="I7" s="25">
        <f>E7-H7</f>
        <v/>
      </c>
      <c r="J7" s="26">
        <f>IFERROR(H7/E7,0)</f>
        <v/>
      </c>
      <c r="K7" s="22" t="inlineStr">
        <is>
          <t>Sep 29 - Oct 3</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46" t="inlineStr">
        <is>
          <t>RAG</t>
        </is>
      </c>
      <c r="B8" s="39"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8" s="39" t="inlineStr">
        <is>
          <t>MOD-ANA</t>
        </is>
      </c>
      <c r="D8" s="39" t="inlineStr">
        <is>
          <t>Ysa</t>
        </is>
      </c>
      <c r="E8" s="72" t="n">
        <v>2.517</v>
      </c>
      <c r="F8" s="73" t="n">
        <v>1.438</v>
      </c>
      <c r="G8" s="56" t="inlineStr">
        <is>
          <t>N</t>
        </is>
      </c>
      <c r="H8" s="72">
        <f>IF(UPPER(G8)="Y",E8,IF(N8=0,F8,F8+(E8-F8)*M8/N8))</f>
        <v/>
      </c>
      <c r="I8" s="74">
        <f>E8-H8</f>
        <v/>
      </c>
      <c r="J8" s="75">
        <f>IFERROR(H8/E8,0)</f>
        <v/>
      </c>
      <c r="K8" s="39" t="inlineStr">
        <is>
          <t>Oct 3 - sign-off</t>
        </is>
      </c>
      <c r="L8" s="39">
        <f>IF(H8&gt;=E8,"Done",IF(H8&gt;0,"In progress","Not started"))</f>
        <v/>
      </c>
      <c r="M8" s="76">
        <f>COUNTIFS(Kiarra!$I:$I,"*;"&amp;$A8&amp;";*",Kiarra!$H:$H,"Done")+COUNTIFS(Hans!$I:$I,"*;"&amp;$A8&amp;";*",Hans!$H:$H,"Done")+COUNTIFS(Jertz!$I:$I,"*;"&amp;$A8&amp;";*",Jertz!$H:$H,"Done")+COUNTIFS(Ysa!$I:$I,"*;"&amp;$A8&amp;";*",Ysa!$H:$H,"Done")</f>
        <v/>
      </c>
      <c r="N8" s="76">
        <f>COUNTIF(Kiarra!$I:$I,"*;"&amp;$A8&amp;";*")+COUNTIF(Hans!$I:$I,"*;"&amp;$A8&amp;";*")+COUNTIF(Jertz!$I:$I,"*;"&amp;$A8&amp;";*")+COUNTIF(Ysa!$I:$I,"*;"&amp;$A8&amp;";*")</f>
        <v/>
      </c>
    </row>
    <row r="9">
      <c r="A9" s="27" t="inlineStr">
        <is>
          <t>MAPCOMP</t>
        </is>
      </c>
      <c r="B9" s="9" t="inlineStr">
        <is>
          <t>Map Comparison API</t>
        </is>
      </c>
      <c r="C9" s="9" t="inlineStr">
        <is>
          <t>MOD-BE</t>
        </is>
      </c>
      <c r="D9" s="9" t="inlineStr">
        <is>
          <t>Jertz</t>
        </is>
      </c>
      <c r="E9" s="28" t="n">
        <v>2.832</v>
      </c>
      <c r="F9" s="29" t="n">
        <v>1.573</v>
      </c>
      <c r="G9" s="38" t="inlineStr">
        <is>
          <t>N</t>
        </is>
      </c>
      <c r="H9" s="28">
        <f>IF(UPPER(G9)="Y",E9,IF(N9=0,F9,F9+(E9-F9)*M9/N9))</f>
        <v/>
      </c>
      <c r="I9" s="30">
        <f>E9-H9</f>
        <v/>
      </c>
      <c r="J9" s="31">
        <f>IFERROR(H9/E9,0)</f>
        <v/>
      </c>
      <c r="K9" s="9" t="inlineStr">
        <is>
          <t>Oct 3 - Oct 5</t>
        </is>
      </c>
      <c r="L9" s="9">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7" t="inlineStr">
        <is>
          <t>DATAPREP</t>
        </is>
      </c>
      <c r="B10" s="9" t="inlineStr">
        <is>
          <t>Analytics Data Preparation &amp; Integration</t>
        </is>
      </c>
      <c r="C10" s="9" t="inlineStr">
        <is>
          <t>MOD-ANA</t>
        </is>
      </c>
      <c r="D10" s="9" t="inlineStr">
        <is>
          <t>Hans</t>
        </is>
      </c>
      <c r="E10" s="28" t="n">
        <v>4.406</v>
      </c>
      <c r="F10" s="29" t="n">
        <v>3.147</v>
      </c>
      <c r="G10" s="38" t="inlineStr">
        <is>
          <t>N</t>
        </is>
      </c>
      <c r="H10" s="28">
        <f>IF(UPPER(G10)="Y",E10,IF(N10=0,F10,F10+(E10-F10)*M10/N10))</f>
        <v/>
      </c>
      <c r="I10" s="30">
        <f>E10-H10</f>
        <v/>
      </c>
      <c r="J10" s="31">
        <f>IFERROR(H10/E10,0)</f>
        <v/>
      </c>
      <c r="K10" s="9" t="inlineStr">
        <is>
          <t>Oct 4 - Oct 5</t>
        </is>
      </c>
      <c r="L10" s="9">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7" t="inlineStr">
        <is>
          <t>DATA</t>
        </is>
      </c>
      <c r="B11" s="9" t="inlineStr">
        <is>
          <t>Core Traffic Data Schema &amp; Import Tables</t>
        </is>
      </c>
      <c r="C11" s="9" t="inlineStr">
        <is>
          <t>MOD-DB</t>
        </is>
      </c>
      <c r="D11" s="9" t="inlineStr">
        <is>
          <t>Hans</t>
        </is>
      </c>
      <c r="E11" s="28" t="n">
        <v>3.147</v>
      </c>
      <c r="F11" s="29" t="n">
        <v>1.888</v>
      </c>
      <c r="G11" s="38" t="inlineStr">
        <is>
          <t>N</t>
        </is>
      </c>
      <c r="H11" s="28">
        <f>IF(UPPER(G11)="Y",E11,IF(N11=0,F11,F11+(E11-F11)*M11/N11))</f>
        <v/>
      </c>
      <c r="I11" s="30">
        <f>E11-H11</f>
        <v/>
      </c>
      <c r="J11" s="31">
        <f>IFERROR(H11/E11,0)</f>
        <v/>
      </c>
      <c r="K11" s="9" t="inlineStr">
        <is>
          <t>Oct 4 - Oct 5</t>
        </is>
      </c>
      <c r="L11" s="9">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7" t="inlineStr">
        <is>
          <t>SUSTAIN</t>
        </is>
      </c>
      <c r="B12" s="9" t="inlineStr">
        <is>
          <t>Sustainability &amp; Emissions API</t>
        </is>
      </c>
      <c r="C12" s="9" t="inlineStr">
        <is>
          <t>MOD-BE</t>
        </is>
      </c>
      <c r="D12" s="9" t="inlineStr">
        <is>
          <t>Hans</t>
        </is>
      </c>
      <c r="E12" s="28" t="n">
        <v>2.517</v>
      </c>
      <c r="F12" s="29" t="n">
        <v>1.259</v>
      </c>
      <c r="G12" s="38" t="inlineStr">
        <is>
          <t>N</t>
        </is>
      </c>
      <c r="H12" s="28">
        <f>IF(UPPER(G12)="Y",E12,IF(N12=0,F12,F12+(E12-F12)*M12/N12))</f>
        <v/>
      </c>
      <c r="I12" s="30">
        <f>E12-H12</f>
        <v/>
      </c>
      <c r="J12" s="31">
        <f>IFERROR(H12/E12,0)</f>
        <v/>
      </c>
      <c r="K12" s="9" t="inlineStr">
        <is>
          <t>Oct 4 - Oct 5</t>
        </is>
      </c>
      <c r="L12" s="9">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7" t="inlineStr">
        <is>
          <t>SANDBOX</t>
        </is>
      </c>
      <c r="B13" s="9" t="inlineStr">
        <is>
          <t>AI Traffic Sandbox API</t>
        </is>
      </c>
      <c r="C13" s="9" t="inlineStr">
        <is>
          <t>MOD-BE</t>
        </is>
      </c>
      <c r="D13" s="9" t="inlineStr">
        <is>
          <t>Ysa</t>
        </is>
      </c>
      <c r="E13" s="28" t="n">
        <v>2.832</v>
      </c>
      <c r="F13" s="29" t="n">
        <v>1.888</v>
      </c>
      <c r="G13" s="38" t="inlineStr">
        <is>
          <t>N</t>
        </is>
      </c>
      <c r="H13" s="28">
        <f>IF(UPPER(G13)="Y",E13,IF(N13=0,F13,F13+(E13-F13)*M13/N13))</f>
        <v/>
      </c>
      <c r="I13" s="30">
        <f>E13-H13</f>
        <v/>
      </c>
      <c r="J13" s="31">
        <f>IFERROR(H13/E13,0)</f>
        <v/>
      </c>
      <c r="K13" s="9" t="inlineStr">
        <is>
          <t>Oct 5 - Oct 6</t>
        </is>
      </c>
      <c r="L13" s="9">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7" t="inlineStr">
        <is>
          <t>HOST</t>
        </is>
      </c>
      <c r="B14" s="9" t="inlineStr">
        <is>
          <t>Hosting &amp; Deployment Setup</t>
        </is>
      </c>
      <c r="C14" s="9" t="inlineStr">
        <is>
          <t>CORE</t>
        </is>
      </c>
      <c r="D14" s="9" t="inlineStr">
        <is>
          <t>Kiarra</t>
        </is>
      </c>
      <c r="E14" s="28" t="n">
        <v>1.573</v>
      </c>
      <c r="F14" s="29" t="n">
        <v>0.629</v>
      </c>
      <c r="G14" s="38" t="inlineStr">
        <is>
          <t>N</t>
        </is>
      </c>
      <c r="H14" s="28">
        <f>IF(UPPER(G14)="Y",E14,IF(N14=0,F14,F14+(E14-F14)*M14/N14))</f>
        <v/>
      </c>
      <c r="I14" s="30">
        <f>E14-H14</f>
        <v/>
      </c>
      <c r="J14" s="31">
        <f>IFERROR(H14/E14,0)</f>
        <v/>
      </c>
      <c r="K14" s="9" t="inlineStr">
        <is>
          <t>Oct 5 - Oct 6</t>
        </is>
      </c>
      <c r="L14" s="9">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7" t="inlineStr">
        <is>
          <t>CACHE</t>
        </is>
      </c>
      <c r="B15" s="9" t="inlineStr">
        <is>
          <t>Redis Cache &amp; Event Messaging Setup</t>
        </is>
      </c>
      <c r="C15" s="9" t="inlineStr">
        <is>
          <t>MOD-DB</t>
        </is>
      </c>
      <c r="D15" s="9" t="inlineStr">
        <is>
          <t>Hans</t>
        </is>
      </c>
      <c r="E15" s="28" t="n">
        <v>1.888</v>
      </c>
      <c r="F15" s="29" t="n">
        <v>0.944</v>
      </c>
      <c r="G15" s="38" t="inlineStr">
        <is>
          <t>N</t>
        </is>
      </c>
      <c r="H15" s="28">
        <f>IF(UPPER(G15)="Y",E15,IF(N15=0,F15,F15+(E15-F15)*M15/N15))</f>
        <v/>
      </c>
      <c r="I15" s="30">
        <f>E15-H15</f>
        <v/>
      </c>
      <c r="J15" s="31">
        <f>IFERROR(H15/E15,0)</f>
        <v/>
      </c>
      <c r="K15" s="9" t="inlineStr">
        <is>
          <t>Oct 5 - Oct 6</t>
        </is>
      </c>
      <c r="L15" s="9">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7" t="inlineStr">
        <is>
          <t>TRAFFICFC</t>
        </is>
      </c>
      <c r="B16" s="9" t="inlineStr">
        <is>
          <t>Traffic Volume Predictive Model</t>
        </is>
      </c>
      <c r="C16" s="9" t="inlineStr">
        <is>
          <t>MOD-ANA</t>
        </is>
      </c>
      <c r="D16" s="9" t="inlineStr">
        <is>
          <t>Hans</t>
        </is>
      </c>
      <c r="E16" s="28" t="n">
        <v>3.462</v>
      </c>
      <c r="F16" s="29" t="n">
        <v>2.832</v>
      </c>
      <c r="G16" s="38" t="inlineStr">
        <is>
          <t>N</t>
        </is>
      </c>
      <c r="H16" s="28">
        <f>IF(UPPER(G16)="Y",E16,IF(N16=0,F16,F16+(E16-F16)*M16/N16))</f>
        <v/>
      </c>
      <c r="I16" s="30">
        <f>E16-H16</f>
        <v/>
      </c>
      <c r="J16" s="31">
        <f>IFERROR(H16/E16,0)</f>
        <v/>
      </c>
      <c r="K16" s="9" t="inlineStr">
        <is>
          <t>Oct 5 - Oct 6</t>
        </is>
      </c>
      <c r="L16" s="9">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7" t="inlineStr">
        <is>
          <t>AGENT-S</t>
        </is>
      </c>
      <c r="B17" s="9" t="inlineStr">
        <is>
          <t>Agent Simulation - scenarios &amp; validation</t>
        </is>
      </c>
      <c r="C17" s="9" t="inlineStr">
        <is>
          <t>MOD-ANA</t>
        </is>
      </c>
      <c r="D17" s="9" t="inlineStr">
        <is>
          <t>Jertz</t>
        </is>
      </c>
      <c r="E17" s="28" t="n">
        <v>1.102</v>
      </c>
      <c r="F17" s="29" t="n">
        <v>0.472</v>
      </c>
      <c r="G17" s="38" t="inlineStr">
        <is>
          <t>N</t>
        </is>
      </c>
      <c r="H17" s="28">
        <f>IF(UPPER(G17)="Y",E17,IF(N17=0,F17,F17+(E17-F17)*M17/N17))</f>
        <v/>
      </c>
      <c r="I17" s="30">
        <f>E17-H17</f>
        <v/>
      </c>
      <c r="J17" s="31">
        <f>IFERROR(H17/E17,0)</f>
        <v/>
      </c>
      <c r="K17" s="9" t="inlineStr">
        <is>
          <t>Oct 5 - Oct 6</t>
        </is>
      </c>
      <c r="L17" s="9">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7" t="inlineStr">
        <is>
          <t>AUDIT</t>
        </is>
      </c>
      <c r="B18" s="9" t="inlineStr">
        <is>
          <t>Audit Log API</t>
        </is>
      </c>
      <c r="C18" s="9" t="inlineStr">
        <is>
          <t>MOD-BE</t>
        </is>
      </c>
      <c r="D18" s="9" t="inlineStr">
        <is>
          <t>Jertz</t>
        </is>
      </c>
      <c r="E18" s="28" t="n">
        <v>2.203</v>
      </c>
      <c r="F18" s="29" t="n">
        <v>1.573</v>
      </c>
      <c r="G18" s="38" t="inlineStr">
        <is>
          <t>N</t>
        </is>
      </c>
      <c r="H18" s="28">
        <f>IF(UPPER(G18)="Y",E18,IF(N18=0,F18,F18+(E18-F18)*M18/N18))</f>
        <v/>
      </c>
      <c r="I18" s="30">
        <f>E18-H18</f>
        <v/>
      </c>
      <c r="J18" s="31">
        <f>IFERROR(H18/E18,0)</f>
        <v/>
      </c>
      <c r="K18" s="9" t="inlineStr">
        <is>
          <t>Oct 5 - Oct 6</t>
        </is>
      </c>
      <c r="L18" s="9">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7" t="inlineStr">
        <is>
          <t>ENV</t>
        </is>
      </c>
      <c r="B19" s="9" t="inlineStr">
        <is>
          <t>Environment Configuration</t>
        </is>
      </c>
      <c r="C19" s="9" t="inlineStr">
        <is>
          <t>CORE</t>
        </is>
      </c>
      <c r="D19" s="9" t="inlineStr">
        <is>
          <t>Kiarra</t>
        </is>
      </c>
      <c r="E19" s="28" t="n">
        <v>1.259</v>
      </c>
      <c r="F19" s="29" t="n">
        <v>0.629</v>
      </c>
      <c r="G19" s="38" t="inlineStr">
        <is>
          <t>N</t>
        </is>
      </c>
      <c r="H19" s="28">
        <f>IF(UPPER(G19)="Y",E19,IF(N19=0,F19,F19+(E19-F19)*M19/N19))</f>
        <v/>
      </c>
      <c r="I19" s="30">
        <f>E19-H19</f>
        <v/>
      </c>
      <c r="J19" s="31">
        <f>IFERROR(H19/E19,0)</f>
        <v/>
      </c>
      <c r="K19" s="9" t="inlineStr">
        <is>
          <t>Oct 5 - Oct 6</t>
        </is>
      </c>
      <c r="L19" s="9">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7" t="inlineStr">
        <is>
          <t>REALTIME</t>
        </is>
      </c>
      <c r="B20" s="9" t="inlineStr">
        <is>
          <t>Redis Realtime &amp; Event Streaming</t>
        </is>
      </c>
      <c r="C20" s="9" t="inlineStr">
        <is>
          <t>MOD-BE</t>
        </is>
      </c>
      <c r="D20" s="9" t="inlineStr">
        <is>
          <t>Ysa</t>
        </is>
      </c>
      <c r="E20" s="28" t="n">
        <v>2.203</v>
      </c>
      <c r="F20" s="29" t="n">
        <v>1.573</v>
      </c>
      <c r="G20" s="38" t="inlineStr">
        <is>
          <t>N</t>
        </is>
      </c>
      <c r="H20" s="28">
        <f>IF(UPPER(G20)="Y",E20,IF(N20=0,F20,F20+(E20-F20)*M20/N20))</f>
        <v/>
      </c>
      <c r="I20" s="30">
        <f>E20-H20</f>
        <v/>
      </c>
      <c r="J20" s="31">
        <f>IFERROR(H20/E20,0)</f>
        <v/>
      </c>
      <c r="K20" s="9" t="inlineStr">
        <is>
          <t>Oct 5 - Oct 6</t>
        </is>
      </c>
      <c r="L20" s="9">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7" t="inlineStr">
        <is>
          <t>AGENT-M</t>
        </is>
      </c>
      <c r="B21" s="9" t="inlineStr">
        <is>
          <t>Agent Simulation - vehicle dynamics &amp; calibration</t>
        </is>
      </c>
      <c r="C21" s="9" t="inlineStr">
        <is>
          <t>MOD-ANA</t>
        </is>
      </c>
      <c r="D21" s="9" t="inlineStr">
        <is>
          <t>Hans</t>
        </is>
      </c>
      <c r="E21" s="28" t="n">
        <v>1.101</v>
      </c>
      <c r="F21" s="29" t="n">
        <v>0.472</v>
      </c>
      <c r="G21" s="38" t="inlineStr">
        <is>
          <t>N</t>
        </is>
      </c>
      <c r="H21" s="28">
        <f>IF(UPPER(G21)="Y",E21,IF(N21=0,F21,F21+(E21-F21)*M21/N21))</f>
        <v/>
      </c>
      <c r="I21" s="30">
        <f>E21-H21</f>
        <v/>
      </c>
      <c r="J21" s="31">
        <f>IFERROR(H21/E21,0)</f>
        <v/>
      </c>
      <c r="K21" s="9" t="inlineStr">
        <is>
          <t>Oct 5 - Oct 6</t>
        </is>
      </c>
      <c r="L21" s="9">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7" t="inlineStr">
        <is>
          <t>AUTH</t>
        </is>
      </c>
      <c r="B22" s="9" t="inlineStr">
        <is>
          <t>Authentication &amp; Session Management</t>
        </is>
      </c>
      <c r="C22" s="9" t="inlineStr">
        <is>
          <t>MOD-FE</t>
        </is>
      </c>
      <c r="D22" s="9" t="inlineStr">
        <is>
          <t>Kiarra</t>
        </is>
      </c>
      <c r="E22" s="28" t="n">
        <v>1.888</v>
      </c>
      <c r="F22" s="29" t="n">
        <v>1.259</v>
      </c>
      <c r="G22" s="38" t="inlineStr">
        <is>
          <t>N</t>
        </is>
      </c>
      <c r="H22" s="28">
        <f>IF(UPPER(G22)="Y",E22,IF(N22=0,F22,F22+(E22-F22)*M22/N22))</f>
        <v/>
      </c>
      <c r="I22" s="30">
        <f>E22-H22</f>
        <v/>
      </c>
      <c r="J22" s="31">
        <f>IFERROR(H22/E22,0)</f>
        <v/>
      </c>
      <c r="K22" s="9" t="inlineStr">
        <is>
          <t>Oct 5 - Oct 6</t>
        </is>
      </c>
      <c r="L22" s="9">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7" t="inlineStr">
        <is>
          <t>MAINT</t>
        </is>
      </c>
      <c r="B23" s="9" t="inlineStr">
        <is>
          <t>Maintenance Scheduler API</t>
        </is>
      </c>
      <c r="C23" s="9" t="inlineStr">
        <is>
          <t>MOD-BE</t>
        </is>
      </c>
      <c r="D23" s="9" t="inlineStr">
        <is>
          <t>Kiarra</t>
        </is>
      </c>
      <c r="E23" s="28" t="n">
        <v>2.517</v>
      </c>
      <c r="F23" s="29" t="n">
        <v>2.203</v>
      </c>
      <c r="G23" s="38" t="inlineStr">
        <is>
          <t>N</t>
        </is>
      </c>
      <c r="H23" s="28">
        <f>IF(UPPER(G23)="Y",E23,IF(N23=0,F23,F23+(E23-F23)*M23/N23))</f>
        <v/>
      </c>
      <c r="I23" s="30">
        <f>E23-H23</f>
        <v/>
      </c>
      <c r="J23" s="31">
        <f>IFERROR(H23/E23,0)</f>
        <v/>
      </c>
      <c r="K23" s="9" t="inlineStr">
        <is>
          <t>Oct 5 - Oct 6</t>
        </is>
      </c>
      <c r="L23" s="9">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7" t="inlineStr">
        <is>
          <t>TRAFFIC</t>
        </is>
      </c>
      <c r="B24" s="9" t="inlineStr">
        <is>
          <t>Traffic Overview Dashboard</t>
        </is>
      </c>
      <c r="C24" s="9" t="inlineStr">
        <is>
          <t>MOD-FE</t>
        </is>
      </c>
      <c r="D24" s="9" t="inlineStr">
        <is>
          <t>Hans</t>
        </is>
      </c>
      <c r="E24" s="28" t="n">
        <v>3.147</v>
      </c>
      <c r="F24" s="29" t="n">
        <v>2.832</v>
      </c>
      <c r="G24" s="38" t="inlineStr">
        <is>
          <t>N</t>
        </is>
      </c>
      <c r="H24" s="28">
        <f>IF(UPPER(G24)="Y",E24,IF(N24=0,F24,F24+(E24-F24)*M24/N24))</f>
        <v/>
      </c>
      <c r="I24" s="30">
        <f>E24-H24</f>
        <v/>
      </c>
      <c r="J24" s="31">
        <f>IFERROR(H24/E24,0)</f>
        <v/>
      </c>
      <c r="K24" s="9" t="inlineStr">
        <is>
          <t>Oct 5 - Oct 6</t>
        </is>
      </c>
      <c r="L24" s="9">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7" t="inlineStr">
        <is>
          <t>TRAFFICDESC</t>
        </is>
      </c>
      <c r="B25" s="9" t="inlineStr">
        <is>
          <t>Traffic Volume Descriptive Analytics</t>
        </is>
      </c>
      <c r="C25" s="9" t="inlineStr">
        <is>
          <t>MOD-ANA</t>
        </is>
      </c>
      <c r="D25" s="9" t="inlineStr">
        <is>
          <t>Hans</t>
        </is>
      </c>
      <c r="E25" s="28" t="n">
        <v>2.832</v>
      </c>
      <c r="F25" s="29" t="n">
        <v>2.517</v>
      </c>
      <c r="G25" s="38" t="inlineStr">
        <is>
          <t>N</t>
        </is>
      </c>
      <c r="H25" s="28">
        <f>IF(UPPER(G25)="Y",E25,IF(N25=0,F25,F25+(E25-F25)*M25/N25))</f>
        <v/>
      </c>
      <c r="I25" s="30">
        <f>E25-H25</f>
        <v/>
      </c>
      <c r="J25" s="31">
        <f>IFERROR(H25/E25,0)</f>
        <v/>
      </c>
      <c r="K25" s="9" t="inlineStr">
        <is>
          <t>Oct 5 - Oct 6</t>
        </is>
      </c>
      <c r="L25" s="9">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7" t="inlineStr">
        <is>
          <t>INCIDENT</t>
        </is>
      </c>
      <c r="B26" s="9" t="inlineStr">
        <is>
          <t>Incident Data API Endpoints</t>
        </is>
      </c>
      <c r="C26" s="9" t="inlineStr">
        <is>
          <t>MOD-BE</t>
        </is>
      </c>
      <c r="D26" s="9" t="inlineStr">
        <is>
          <t>Jertz</t>
        </is>
      </c>
      <c r="E26" s="28" t="n">
        <v>2.832</v>
      </c>
      <c r="F26" s="29" t="n">
        <v>2.517</v>
      </c>
      <c r="G26" s="38" t="inlineStr">
        <is>
          <t>N</t>
        </is>
      </c>
      <c r="H26" s="28">
        <f>IF(UPPER(G26)="Y",E26,IF(N26=0,F26,F26+(E26-F26)*M26/N26))</f>
        <v/>
      </c>
      <c r="I26" s="30">
        <f>E26-H26</f>
        <v/>
      </c>
      <c r="J26" s="31">
        <f>IFERROR(H26/E26,0)</f>
        <v/>
      </c>
      <c r="K26" s="9" t="inlineStr">
        <is>
          <t>Oct 5 - Oct 6</t>
        </is>
      </c>
      <c r="L26" s="9">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7" t="inlineStr">
        <is>
          <t>INCIDENTDESC</t>
        </is>
      </c>
      <c r="B27" s="9" t="inlineStr">
        <is>
          <t>Incident Descriptive Analytics</t>
        </is>
      </c>
      <c r="C27" s="9" t="inlineStr">
        <is>
          <t>MOD-ANA</t>
        </is>
      </c>
      <c r="D27" s="9" t="inlineStr">
        <is>
          <t>Jertz</t>
        </is>
      </c>
      <c r="E27" s="28" t="n">
        <v>3.147</v>
      </c>
      <c r="F27" s="29" t="n">
        <v>2.832</v>
      </c>
      <c r="G27" s="38" t="inlineStr">
        <is>
          <t>N</t>
        </is>
      </c>
      <c r="H27" s="28">
        <f>IF(UPPER(G27)="Y",E27,IF(N27=0,F27,F27+(E27-F27)*M27/N27))</f>
        <v/>
      </c>
      <c r="I27" s="30">
        <f>E27-H27</f>
        <v/>
      </c>
      <c r="J27" s="31">
        <f>IFERROR(H27/E27,0)</f>
        <v/>
      </c>
      <c r="K27" s="9" t="inlineStr">
        <is>
          <t>Oct 5 - Oct 6</t>
        </is>
      </c>
      <c r="L27" s="9">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7" t="inlineStr">
        <is>
          <t>EMISSDESC</t>
        </is>
      </c>
      <c r="B28" s="9" t="inlineStr">
        <is>
          <t>Emissions &amp; Sustainability Descriptive Analytics</t>
        </is>
      </c>
      <c r="C28" s="9" t="inlineStr">
        <is>
          <t>MOD-ANA</t>
        </is>
      </c>
      <c r="D28" s="9" t="inlineStr">
        <is>
          <t>Hans</t>
        </is>
      </c>
      <c r="E28" s="28" t="n">
        <v>3.147</v>
      </c>
      <c r="F28" s="29" t="n">
        <v>2.832</v>
      </c>
      <c r="G28" s="38" t="inlineStr">
        <is>
          <t>N</t>
        </is>
      </c>
      <c r="H28" s="28">
        <f>IF(UPPER(G28)="Y",E28,IF(N28=0,F28,F28+(E28-F28)*M28/N28))</f>
        <v/>
      </c>
      <c r="I28" s="30">
        <f>E28-H28</f>
        <v/>
      </c>
      <c r="J28" s="31">
        <f>IFERROR(H28/E28,0)</f>
        <v/>
      </c>
      <c r="K28" s="9" t="inlineStr">
        <is>
          <t>Oct 5 - Oct 6</t>
        </is>
      </c>
      <c r="L28" s="9">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7" t="inlineStr">
        <is>
          <t>UPLOAD</t>
        </is>
      </c>
      <c r="B29" s="9" t="inlineStr">
        <is>
          <t>Data Upload &amp; Validation API</t>
        </is>
      </c>
      <c r="C29" s="9" t="inlineStr">
        <is>
          <t>MOD-BE</t>
        </is>
      </c>
      <c r="D29" s="9" t="inlineStr">
        <is>
          <t>Ysa</t>
        </is>
      </c>
      <c r="E29" s="28" t="n">
        <v>2.203</v>
      </c>
      <c r="F29" s="29" t="n">
        <v>1.888</v>
      </c>
      <c r="G29" s="38" t="inlineStr">
        <is>
          <t>N</t>
        </is>
      </c>
      <c r="H29" s="28">
        <f>IF(UPPER(G29)="Y",E29,IF(N29=0,F29,F29+(E29-F29)*M29/N29))</f>
        <v/>
      </c>
      <c r="I29" s="30">
        <f>E29-H29</f>
        <v/>
      </c>
      <c r="J29" s="31">
        <f>IFERROR(H29/E29,0)</f>
        <v/>
      </c>
      <c r="K29" s="9" t="inlineStr">
        <is>
          <t>Oct 5 - Oct 6</t>
        </is>
      </c>
      <c r="L29" s="9">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7" t="inlineStr">
        <is>
          <t>DATAUP</t>
        </is>
      </c>
      <c r="B30" s="9" t="inlineStr">
        <is>
          <t>Data Management &amp; Upload Page</t>
        </is>
      </c>
      <c r="C30" s="9" t="inlineStr">
        <is>
          <t>MOD-FE</t>
        </is>
      </c>
      <c r="D30" s="9" t="inlineStr">
        <is>
          <t>Kiarra</t>
        </is>
      </c>
      <c r="E30" s="28" t="n">
        <v>2.517</v>
      </c>
      <c r="F30" s="29" t="n">
        <v>2.517</v>
      </c>
      <c r="G30" s="38" t="inlineStr">
        <is>
          <t>N</t>
        </is>
      </c>
      <c r="H30" s="28">
        <f>IF(UPPER(G30)="Y",E30,IF(N30=0,F30,F30+(E30-F30)*M30/N30))</f>
        <v/>
      </c>
      <c r="I30" s="30">
        <f>E30-H30</f>
        <v/>
      </c>
      <c r="J30" s="31">
        <f>IFERROR(H30/E30,0)</f>
        <v/>
      </c>
      <c r="K30" s="9" t="inlineStr">
        <is>
          <t>Oct 5 - Oct 6</t>
        </is>
      </c>
      <c r="L30" s="9">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7" t="inlineStr">
        <is>
          <t>REPO</t>
        </is>
      </c>
      <c r="B31" s="9" t="inlineStr">
        <is>
          <t>Repository &amp; Branch Management</t>
        </is>
      </c>
      <c r="C31" s="9" t="inlineStr">
        <is>
          <t>CORE</t>
        </is>
      </c>
      <c r="D31" s="9" t="inlineStr">
        <is>
          <t>Kiarra</t>
        </is>
      </c>
      <c r="E31" s="28" t="n">
        <v>0.944</v>
      </c>
      <c r="F31" s="29" t="n">
        <v>0.944</v>
      </c>
      <c r="G31" s="38" t="inlineStr">
        <is>
          <t>N</t>
        </is>
      </c>
      <c r="H31" s="28">
        <f>IF(UPPER(G31)="Y",E31,IF(N31=0,F31,F31+(E31-F31)*M31/N31))</f>
        <v/>
      </c>
      <c r="I31" s="30">
        <f>E31-H31</f>
        <v/>
      </c>
      <c r="J31" s="31">
        <f>IFERROR(H31/E31,0)</f>
        <v/>
      </c>
      <c r="K31" s="9" t="inlineStr">
        <is>
          <t>Oct 5 - Oct 6</t>
        </is>
      </c>
      <c r="L31" s="9">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7" t="inlineStr">
        <is>
          <t>UIUX</t>
        </is>
      </c>
      <c r="B32" s="9" t="inlineStr">
        <is>
          <t>Global UI/UX Design System</t>
        </is>
      </c>
      <c r="C32" s="9" t="inlineStr">
        <is>
          <t>MOD-FE</t>
        </is>
      </c>
      <c r="D32" s="9" t="inlineStr">
        <is>
          <t>Kiarra</t>
        </is>
      </c>
      <c r="E32" s="28" t="n">
        <v>0.944</v>
      </c>
      <c r="F32" s="29" t="n">
        <v>0.944</v>
      </c>
      <c r="G32" s="38" t="inlineStr">
        <is>
          <t>N</t>
        </is>
      </c>
      <c r="H32" s="28">
        <f>IF(UPPER(G32)="Y",E32,IF(N32=0,F32,F32+(E32-F32)*M32/N32))</f>
        <v/>
      </c>
      <c r="I32" s="30">
        <f>E32-H32</f>
        <v/>
      </c>
      <c r="J32" s="31">
        <f>IFERROR(H32/E32,0)</f>
        <v/>
      </c>
      <c r="K32" s="9" t="inlineStr">
        <is>
          <t>Oct 5 - Oct 6</t>
        </is>
      </c>
      <c r="L32" s="9">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7" t="inlineStr">
        <is>
          <t>ETL</t>
        </is>
      </c>
      <c r="B33" s="9" t="inlineStr">
        <is>
          <t>ETL Pipeline &amp; Data Warehouse</t>
        </is>
      </c>
      <c r="C33" s="9" t="inlineStr">
        <is>
          <t>MOD-DB</t>
        </is>
      </c>
      <c r="D33" s="9" t="inlineStr">
        <is>
          <t>Hans</t>
        </is>
      </c>
      <c r="E33" s="28" t="n">
        <v>2.203</v>
      </c>
      <c r="F33" s="29" t="n">
        <v>2.203</v>
      </c>
      <c r="G33" s="38" t="inlineStr">
        <is>
          <t>N</t>
        </is>
      </c>
      <c r="H33" s="28">
        <f>IF(UPPER(G33)="Y",E33,IF(N33=0,F33,F33+(E33-F33)*M33/N33))</f>
        <v/>
      </c>
      <c r="I33" s="30">
        <f>E33-H33</f>
        <v/>
      </c>
      <c r="J33" s="31">
        <f>IFERROR(H33/E33,0)</f>
        <v/>
      </c>
      <c r="K33" s="9" t="inlineStr">
        <is>
          <t>Oct 5 - Oct 6</t>
        </is>
      </c>
      <c r="L33" s="9">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58" t="inlineStr">
        <is>
          <t>(unmapped)</t>
        </is>
      </c>
      <c r="B34" s="59" t="inlineStr">
        <is>
          <t>Task IDs that repeat across modules in the acceptance-criteria PDF (AUTH, TRAFFIC, INCIDENT, SANDBOX, MAINT, MAPCOMP, SUSTAIN each appear twice at different weights). Split them out of the source file and replace this row with the real ones.</t>
        </is>
      </c>
      <c r="C34" s="60" t="inlineStr">
        <is>
          <t>mixed</t>
        </is>
      </c>
      <c r="D34" s="60" t="inlineStr">
        <is>
          <t>unassigned</t>
        </is>
      </c>
      <c r="E34" s="61" t="n">
        <v>18.882</v>
      </c>
      <c r="F34" s="62" t="n">
        <v>15.109</v>
      </c>
      <c r="G34" s="63" t="inlineStr">
        <is>
          <t>N</t>
        </is>
      </c>
      <c r="H34" s="61">
        <f>IF(UPPER(G34)="Y",E34,IF(N34=0,F34,F34+(E34-F34)*M34/N34))</f>
        <v/>
      </c>
      <c r="I34" s="64">
        <f>E34-H34</f>
        <v/>
      </c>
      <c r="J34" s="65">
        <f>IFERROR(H34/E34,0)</f>
        <v/>
      </c>
      <c r="K34" s="60" t="inlineStr">
        <is>
          <t>-</t>
        </is>
      </c>
      <c r="L34" s="60">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10" t="inlineStr">
        <is>
          <t>TOTAL</t>
        </is>
      </c>
      <c r="B35" s="18" t="n"/>
      <c r="C35" s="18" t="n"/>
      <c r="D35" s="18" t="n"/>
      <c r="E35" s="17">
        <f>SUM(E5:E34)</f>
        <v/>
      </c>
      <c r="F35" s="17">
        <f>SUM(F5:F34)</f>
        <v/>
      </c>
      <c r="G35" s="18" t="n"/>
      <c r="H35" s="17">
        <f>SUM(H5:H34)</f>
        <v/>
      </c>
      <c r="I35" s="17">
        <f>SUM(I5:I34)</f>
        <v/>
      </c>
      <c r="J35" s="11">
        <f>IFERROR(H35/E35,0)</f>
        <v/>
      </c>
      <c r="K35" s="18" t="n"/>
      <c r="L35" s="18" t="n"/>
      <c r="M35" s="10">
        <f>SUM(M5:M34)</f>
        <v/>
      </c>
      <c r="N35" s="10">
        <f>SUM(N5:N34)</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(eslint.config.js). ESLint 9 cannot read the legacy .eslintrc, so `npx eslint` has never run standalone - note that `next build` does run it, so this is about making the standalone lint step real, which 3.13 SQA claims exists.</t>
        </is>
      </c>
      <c r="G17" s="9" t="inlineStr">
        <is>
          <t>npx eslint . runs and the error count is zero or triaged.</t>
        </is>
      </c>
      <c r="H17" s="38" t="inlineStr">
        <is>
          <t>Not started</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The Priority Board carries a 3.773-point (unmapped) row - task IDs that repeat across modules in the acceptance PDF (AUTH, TRAFFIC, INCIDENT, SANDBOX, MAINT, MAPCOMP, SUSTAIN each appear twice at different weights). Open the source file, split them by module, and replace that row with the real ones.</t>
        </is>
      </c>
      <c r="G18" s="9" t="inlineStr">
        <is>
          <t>The (unmapped) row is gone and the board still totals 90.000.</t>
        </is>
      </c>
      <c r="H18" s="38" t="inlineStr">
        <is>
          <t>Not started</t>
        </is>
      </c>
      <c r="I18" s="70" t="inlineStr">
        <is>
          <t>;(unmapped);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Fix what fails.</t>
        </is>
      </c>
      <c r="G22" s="41" t="inlineStr">
        <is>
          <t>No text under 3:1 on any dashboard page.</t>
        </is>
      </c>
      <c r="H22" s="42" t="inlineStr">
        <is>
          <t>Not started</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t>
        </is>
      </c>
      <c r="G24" s="9" t="inlineStr">
        <is>
          <t>Upload page meets its acceptance criteria.</t>
        </is>
      </c>
      <c r="H24" s="38" t="inlineStr">
        <is>
          <t>Not started</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2026-10-02T12:53:49Z</dcterms:modified>
</cp:coreProperties>
</file>