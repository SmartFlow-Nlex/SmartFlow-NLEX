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AUTH</t>
        </is>
      </c>
      <c r="B5" s="22" t="inlineStr">
        <is>
          <t>Authentication &amp; Session Management (frontend)</t>
        </is>
      </c>
      <c r="C5" s="22" t="inlineStr">
        <is>
          <t>MOD-FE</t>
        </is>
      </c>
      <c r="D5" s="22" t="inlineStr">
        <is>
          <t>Kiarra</t>
        </is>
      </c>
      <c r="E5" s="23" t="n">
        <v>1.888</v>
      </c>
      <c r="F5" s="24" t="n">
        <v>1.259</v>
      </c>
      <c r="G5" s="57" t="inlineStr">
        <is>
          <t>N</t>
        </is>
      </c>
      <c r="H5" s="23">
        <f>IF(UPPER(G5)="Y",E5,IF(N5=0,F5,F5+(E5-F5)*M5/N5))</f>
        <v/>
      </c>
      <c r="I5" s="25">
        <f>E5-H5</f>
        <v/>
      </c>
      <c r="J5" s="26">
        <f>IFERROR(H5/E5,0)</f>
        <v/>
      </c>
      <c r="K5" s="22" t="inlineStr">
        <is>
          <t>Oct 5 - Oct 6</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1" t="inlineStr">
        <is>
          <t>TRAFFIC</t>
        </is>
      </c>
      <c r="B6" s="22" t="inlineStr">
        <is>
          <t>Traffic Overview Dashboard (frontend)</t>
        </is>
      </c>
      <c r="C6" s="22" t="inlineStr">
        <is>
          <t>MOD-FE</t>
        </is>
      </c>
      <c r="D6" s="22" t="inlineStr">
        <is>
          <t>Hans</t>
        </is>
      </c>
      <c r="E6" s="23" t="n">
        <v>3.147</v>
      </c>
      <c r="F6" s="24" t="n">
        <v>2.832</v>
      </c>
      <c r="G6" s="57" t="inlineStr">
        <is>
          <t>N</t>
        </is>
      </c>
      <c r="H6" s="23">
        <f>IF(UPPER(G6)="Y",E6,IF(N6=0,F6,F6+(E6-F6)*M6/N6))</f>
        <v/>
      </c>
      <c r="I6" s="25">
        <f>E6-H6</f>
        <v/>
      </c>
      <c r="J6" s="26">
        <f>IFERROR(H6/E6,0)</f>
        <v/>
      </c>
      <c r="K6" s="22" t="inlineStr">
        <is>
          <t>Oct 5 - Oct 6</t>
        </is>
      </c>
      <c r="L6" s="22">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INCIDENT</t>
        </is>
      </c>
      <c r="B7" s="22" t="inlineStr">
        <is>
          <t>Incident Data API Endpoints (frontend)</t>
        </is>
      </c>
      <c r="C7" s="22" t="inlineStr">
        <is>
          <t>MOD-FE</t>
        </is>
      </c>
      <c r="D7" s="22" t="inlineStr">
        <is>
          <t>Jertz</t>
        </is>
      </c>
      <c r="E7" s="23" t="n">
        <v>2.832</v>
      </c>
      <c r="F7" s="24" t="n">
        <v>2.517</v>
      </c>
      <c r="G7" s="57" t="inlineStr">
        <is>
          <t>N</t>
        </is>
      </c>
      <c r="H7" s="23">
        <f>IF(UPPER(G7)="Y",E7,IF(N7=0,F7,F7+(E7-F7)*M7/N7))</f>
        <v/>
      </c>
      <c r="I7" s="25">
        <f>E7-H7</f>
        <v/>
      </c>
      <c r="J7" s="26">
        <f>IFERROR(H7/E7,0)</f>
        <v/>
      </c>
      <c r="K7" s="22" t="inlineStr">
        <is>
          <t>Oct 5 - Oct 6</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21" t="inlineStr">
        <is>
          <t>SANDBOX</t>
        </is>
      </c>
      <c r="B8" s="22" t="inlineStr">
        <is>
          <t>AI Traffic Sandbox API (frontend)</t>
        </is>
      </c>
      <c r="C8" s="22" t="inlineStr">
        <is>
          <t>MOD-FE</t>
        </is>
      </c>
      <c r="D8" s="22" t="inlineStr">
        <is>
          <t>Ysa</t>
        </is>
      </c>
      <c r="E8" s="23" t="n">
        <v>2.832</v>
      </c>
      <c r="F8" s="24" t="n">
        <v>1.888</v>
      </c>
      <c r="G8" s="57" t="inlineStr">
        <is>
          <t>N</t>
        </is>
      </c>
      <c r="H8" s="23">
        <f>IF(UPPER(G8)="Y",E8,IF(N8=0,F8,F8+(E8-F8)*M8/N8))</f>
        <v/>
      </c>
      <c r="I8" s="25">
        <f>E8-H8</f>
        <v/>
      </c>
      <c r="J8" s="26">
        <f>IFERROR(H8/E8,0)</f>
        <v/>
      </c>
      <c r="K8" s="22" t="inlineStr">
        <is>
          <t>Oct 5 - Oct 6</t>
        </is>
      </c>
      <c r="L8" s="22">
        <f>IF(H8&gt;=E8,"Done",IF(H8&gt;0,"In progress","Not started"))</f>
        <v/>
      </c>
      <c r="M8" s="69">
        <f>COUNTIFS(Kiarra!$I:$I,"*;"&amp;$A8&amp;";*",Kiarra!$H:$H,"Done")+COUNTIFS(Hans!$I:$I,"*;"&amp;$A8&amp;";*",Hans!$H:$H,"Done")+COUNTIFS(Jertz!$I:$I,"*;"&amp;$A8&amp;";*",Jertz!$H:$H,"Done")+COUNTIFS(Ysa!$I:$I,"*;"&amp;$A8&amp;";*",Ysa!$H:$H,"Done")</f>
        <v/>
      </c>
      <c r="N8" s="69">
        <f>COUNTIF(Kiarra!$I:$I,"*;"&amp;$A8&amp;";*")+COUNTIF(Hans!$I:$I,"*;"&amp;$A8&amp;";*")+COUNTIF(Jertz!$I:$I,"*;"&amp;$A8&amp;";*")+COUNTIF(Ysa!$I:$I,"*;"&amp;$A8&amp;";*")</f>
        <v/>
      </c>
    </row>
    <row r="9">
      <c r="A9" s="21" t="inlineStr">
        <is>
          <t>MAINT</t>
        </is>
      </c>
      <c r="B9" s="22" t="inlineStr">
        <is>
          <t>Maintenance Scheduler API (frontend)</t>
        </is>
      </c>
      <c r="C9" s="22" t="inlineStr">
        <is>
          <t>MOD-FE</t>
        </is>
      </c>
      <c r="D9" s="22" t="inlineStr">
        <is>
          <t>Kiarra</t>
        </is>
      </c>
      <c r="E9" s="23" t="n">
        <v>2.517</v>
      </c>
      <c r="F9" s="24" t="n">
        <v>1.888</v>
      </c>
      <c r="G9" s="57" t="inlineStr">
        <is>
          <t>N</t>
        </is>
      </c>
      <c r="H9" s="23">
        <f>IF(UPPER(G9)="Y",E9,IF(N9=0,F9,F9+(E9-F9)*M9/N9))</f>
        <v/>
      </c>
      <c r="I9" s="25">
        <f>E9-H9</f>
        <v/>
      </c>
      <c r="J9" s="26">
        <f>IFERROR(H9/E9,0)</f>
        <v/>
      </c>
      <c r="K9" s="22" t="inlineStr">
        <is>
          <t>Oct 5 - Oct 6</t>
        </is>
      </c>
      <c r="L9" s="22">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1" t="inlineStr">
        <is>
          <t>MAPCOMP</t>
        </is>
      </c>
      <c r="B10" s="22" t="inlineStr">
        <is>
          <t>Map Comparison API (frontend)</t>
        </is>
      </c>
      <c r="C10" s="22" t="inlineStr">
        <is>
          <t>MOD-FE</t>
        </is>
      </c>
      <c r="D10" s="22" t="inlineStr">
        <is>
          <t>Jertz</t>
        </is>
      </c>
      <c r="E10" s="23" t="n">
        <v>2.832</v>
      </c>
      <c r="F10" s="24" t="n">
        <v>1.573</v>
      </c>
      <c r="G10" s="57" t="inlineStr">
        <is>
          <t>N</t>
        </is>
      </c>
      <c r="H10" s="23">
        <f>IF(UPPER(G10)="Y",E10,IF(N10=0,F10,F10+(E10-F10)*M10/N10))</f>
        <v/>
      </c>
      <c r="I10" s="25">
        <f>E10-H10</f>
        <v/>
      </c>
      <c r="J10" s="26">
        <f>IFERROR(H10/E10,0)</f>
        <v/>
      </c>
      <c r="K10" s="22" t="inlineStr">
        <is>
          <t>Oct 3 - Oct 5</t>
        </is>
      </c>
      <c r="L10" s="22">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1" t="inlineStr">
        <is>
          <t>SUSTAIN</t>
        </is>
      </c>
      <c r="B11" s="22" t="inlineStr">
        <is>
          <t>Sustainability &amp; Emissions API (frontend)</t>
        </is>
      </c>
      <c r="C11" s="22" t="inlineStr">
        <is>
          <t>MOD-FE</t>
        </is>
      </c>
      <c r="D11" s="22" t="inlineStr">
        <is>
          <t>Hans</t>
        </is>
      </c>
      <c r="E11" s="23" t="n">
        <v>2.517</v>
      </c>
      <c r="F11" s="24" t="n">
        <v>1.259</v>
      </c>
      <c r="G11" s="57" t="inlineStr">
        <is>
          <t>N</t>
        </is>
      </c>
      <c r="H11" s="23">
        <f>IF(UPPER(G11)="Y",E11,IF(N11=0,F11,F11+(E11-F11)*M11/N11))</f>
        <v/>
      </c>
      <c r="I11" s="25">
        <f>E11-H11</f>
        <v/>
      </c>
      <c r="J11" s="26">
        <f>IFERROR(H11/E11,0)</f>
        <v/>
      </c>
      <c r="K11" s="22" t="inlineStr">
        <is>
          <t>Oct 4 - Oct 5</t>
        </is>
      </c>
      <c r="L11" s="22">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1" t="inlineStr">
        <is>
          <t>DATAUP</t>
        </is>
      </c>
      <c r="B12" s="22" t="inlineStr">
        <is>
          <t>Data Management &amp; Upload Page</t>
        </is>
      </c>
      <c r="C12" s="22" t="inlineStr">
        <is>
          <t>MOD-FE</t>
        </is>
      </c>
      <c r="D12" s="22" t="inlineStr">
        <is>
          <t>Kiarra</t>
        </is>
      </c>
      <c r="E12" s="23" t="n">
        <v>2.517</v>
      </c>
      <c r="F12" s="24" t="n">
        <v>2.517</v>
      </c>
      <c r="G12" s="57" t="inlineStr">
        <is>
          <t>N</t>
        </is>
      </c>
      <c r="H12" s="23">
        <f>IF(UPPER(G12)="Y",E12,IF(N12=0,F12,F12+(E12-F12)*M12/N12))</f>
        <v/>
      </c>
      <c r="I12" s="25">
        <f>E12-H12</f>
        <v/>
      </c>
      <c r="J12" s="26">
        <f>IFERROR(H12/E12,0)</f>
        <v/>
      </c>
      <c r="K12" s="22" t="inlineStr">
        <is>
          <t>Oct 5 - Oct 6</t>
        </is>
      </c>
      <c r="L12" s="22">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1" t="inlineStr">
        <is>
          <t>AUDIT</t>
        </is>
      </c>
      <c r="B13" s="22" t="inlineStr">
        <is>
          <t>Audit Log API (frontend)</t>
        </is>
      </c>
      <c r="C13" s="22" t="inlineStr">
        <is>
          <t>MOD-FE</t>
        </is>
      </c>
      <c r="D13" s="22" t="inlineStr">
        <is>
          <t>Jertz</t>
        </is>
      </c>
      <c r="E13" s="23" t="n">
        <v>2.203</v>
      </c>
      <c r="F13" s="24" t="n">
        <v>1.573</v>
      </c>
      <c r="G13" s="57" t="inlineStr">
        <is>
          <t>N</t>
        </is>
      </c>
      <c r="H13" s="23">
        <f>IF(UPPER(G13)="Y",E13,IF(N13=0,F13,F13+(E13-F13)*M13/N13))</f>
        <v/>
      </c>
      <c r="I13" s="25">
        <f>E13-H13</f>
        <v/>
      </c>
      <c r="J13" s="26">
        <f>IFERROR(H13/E13,0)</f>
        <v/>
      </c>
      <c r="K13" s="22" t="inlineStr">
        <is>
          <t>Oct 5 - Oct 6</t>
        </is>
      </c>
      <c r="L13" s="22">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1" t="inlineStr">
        <is>
          <t>AUTH</t>
        </is>
      </c>
      <c r="B14" s="22" t="inlineStr">
        <is>
          <t>Authentication &amp; Session Management (backend/API)</t>
        </is>
      </c>
      <c r="C14" s="22" t="inlineStr">
        <is>
          <t>MOD-BE</t>
        </is>
      </c>
      <c r="D14" s="22" t="inlineStr">
        <is>
          <t>Kiarra</t>
        </is>
      </c>
      <c r="E14" s="23" t="n">
        <v>2.517</v>
      </c>
      <c r="F14" s="24" t="n">
        <v>1.573</v>
      </c>
      <c r="G14" s="57" t="inlineStr">
        <is>
          <t>N</t>
        </is>
      </c>
      <c r="H14" s="23">
        <f>IF(UPPER(G14)="Y",E14,IF(N14=0,F14,F14+(E14-F14)*M14/N14))</f>
        <v/>
      </c>
      <c r="I14" s="25">
        <f>E14-H14</f>
        <v/>
      </c>
      <c r="J14" s="26">
        <f>IFERROR(H14/E14,0)</f>
        <v/>
      </c>
      <c r="K14" s="22" t="inlineStr">
        <is>
          <t>Oct 5 - Oct 6</t>
        </is>
      </c>
      <c r="L14" s="22">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1" t="inlineStr">
        <is>
          <t>TRAFFIC</t>
        </is>
      </c>
      <c r="B15" s="22" t="inlineStr">
        <is>
          <t>Traffic Overview Dashboard (backend/API)</t>
        </is>
      </c>
      <c r="C15" s="22" t="inlineStr">
        <is>
          <t>MOD-BE</t>
        </is>
      </c>
      <c r="D15" s="22" t="inlineStr">
        <is>
          <t>Hans</t>
        </is>
      </c>
      <c r="E15" s="23" t="n">
        <v>2.203</v>
      </c>
      <c r="F15" s="24" t="n">
        <v>2.203</v>
      </c>
      <c r="G15" s="57" t="inlineStr">
        <is>
          <t>N</t>
        </is>
      </c>
      <c r="H15" s="23">
        <f>IF(UPPER(G15)="Y",E15,IF(N15=0,F15,F15+(E15-F15)*M15/N15))</f>
        <v/>
      </c>
      <c r="I15" s="25">
        <f>E15-H15</f>
        <v/>
      </c>
      <c r="J15" s="26">
        <f>IFERROR(H15/E15,0)</f>
        <v/>
      </c>
      <c r="K15" s="22" t="inlineStr">
        <is>
          <t>Oct 5 - Oct 6</t>
        </is>
      </c>
      <c r="L15" s="22">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1" t="inlineStr">
        <is>
          <t>INCIDENT</t>
        </is>
      </c>
      <c r="B16" s="22" t="inlineStr">
        <is>
          <t>Incident Data API Endpoints (backend/API)</t>
        </is>
      </c>
      <c r="C16" s="22" t="inlineStr">
        <is>
          <t>MOD-BE</t>
        </is>
      </c>
      <c r="D16" s="22" t="inlineStr">
        <is>
          <t>Jertz</t>
        </is>
      </c>
      <c r="E16" s="23" t="n">
        <v>2.203</v>
      </c>
      <c r="F16" s="24" t="n">
        <v>2.203</v>
      </c>
      <c r="G16" s="57" t="inlineStr">
        <is>
          <t>N</t>
        </is>
      </c>
      <c r="H16" s="23">
        <f>IF(UPPER(G16)="Y",E16,IF(N16=0,F16,F16+(E16-F16)*M16/N16))</f>
        <v/>
      </c>
      <c r="I16" s="25">
        <f>E16-H16</f>
        <v/>
      </c>
      <c r="J16" s="26">
        <f>IFERROR(H16/E16,0)</f>
        <v/>
      </c>
      <c r="K16" s="22" t="inlineStr">
        <is>
          <t>Oct 5 - Oct 6</t>
        </is>
      </c>
      <c r="L16" s="22">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1" t="inlineStr">
        <is>
          <t>SANDBOX</t>
        </is>
      </c>
      <c r="B17" s="22" t="inlineStr">
        <is>
          <t>AI Traffic Sandbox API (backend/API)</t>
        </is>
      </c>
      <c r="C17" s="22" t="inlineStr">
        <is>
          <t>MOD-BE</t>
        </is>
      </c>
      <c r="D17" s="22" t="inlineStr">
        <is>
          <t>Ysa</t>
        </is>
      </c>
      <c r="E17" s="23" t="n">
        <v>2.203</v>
      </c>
      <c r="F17" s="24" t="n">
        <v>1.573</v>
      </c>
      <c r="G17" s="57" t="inlineStr">
        <is>
          <t>N</t>
        </is>
      </c>
      <c r="H17" s="23">
        <f>IF(UPPER(G17)="Y",E17,IF(N17=0,F17,F17+(E17-F17)*M17/N17))</f>
        <v/>
      </c>
      <c r="I17" s="25">
        <f>E17-H17</f>
        <v/>
      </c>
      <c r="J17" s="26">
        <f>IFERROR(H17/E17,0)</f>
        <v/>
      </c>
      <c r="K17" s="22" t="inlineStr">
        <is>
          <t>Oct 5 - Oct 6</t>
        </is>
      </c>
      <c r="L17" s="22">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1" t="inlineStr">
        <is>
          <t>MAINT</t>
        </is>
      </c>
      <c r="B18" s="22" t="inlineStr">
        <is>
          <t>Maintenance Scheduler API (backend/API)</t>
        </is>
      </c>
      <c r="C18" s="22" t="inlineStr">
        <is>
          <t>MOD-BE</t>
        </is>
      </c>
      <c r="D18" s="22" t="inlineStr">
        <is>
          <t>Kiarra</t>
        </is>
      </c>
      <c r="E18" s="23" t="n">
        <v>2.203</v>
      </c>
      <c r="F18" s="24" t="n">
        <v>1.573</v>
      </c>
      <c r="G18" s="57" t="inlineStr">
        <is>
          <t>N</t>
        </is>
      </c>
      <c r="H18" s="23">
        <f>IF(UPPER(G18)="Y",E18,IF(N18=0,F18,F18+(E18-F18)*M18/N18))</f>
        <v/>
      </c>
      <c r="I18" s="25">
        <f>E18-H18</f>
        <v/>
      </c>
      <c r="J18" s="26">
        <f>IFERROR(H18/E18,0)</f>
        <v/>
      </c>
      <c r="K18" s="22" t="inlineStr">
        <is>
          <t>Oct 5 - Oct 6</t>
        </is>
      </c>
      <c r="L18" s="22">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1" t="inlineStr">
        <is>
          <t>MAPCOMP</t>
        </is>
      </c>
      <c r="B19" s="22" t="inlineStr">
        <is>
          <t>Map Comparison API (backend/API)</t>
        </is>
      </c>
      <c r="C19" s="22" t="inlineStr">
        <is>
          <t>MOD-BE</t>
        </is>
      </c>
      <c r="D19" s="22" t="inlineStr">
        <is>
          <t>Jertz</t>
        </is>
      </c>
      <c r="E19" s="23" t="n">
        <v>2.517</v>
      </c>
      <c r="F19" s="24" t="n">
        <v>1.573</v>
      </c>
      <c r="G19" s="57" t="inlineStr">
        <is>
          <t>N</t>
        </is>
      </c>
      <c r="H19" s="23">
        <f>IF(UPPER(G19)="Y",E19,IF(N19=0,F19,F19+(E19-F19)*M19/N19))</f>
        <v/>
      </c>
      <c r="I19" s="25">
        <f>E19-H19</f>
        <v/>
      </c>
      <c r="J19" s="26">
        <f>IFERROR(H19/E19,0)</f>
        <v/>
      </c>
      <c r="K19" s="22" t="inlineStr">
        <is>
          <t>Oct 3 - Oct 5</t>
        </is>
      </c>
      <c r="L19" s="22">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1" t="inlineStr">
        <is>
          <t>SUSTAIN</t>
        </is>
      </c>
      <c r="B20" s="22" t="inlineStr">
        <is>
          <t>Sustainability &amp; Emissions API (backend/API)</t>
        </is>
      </c>
      <c r="C20" s="22" t="inlineStr">
        <is>
          <t>MOD-BE</t>
        </is>
      </c>
      <c r="D20" s="22" t="inlineStr">
        <is>
          <t>Hans</t>
        </is>
      </c>
      <c r="E20" s="23" t="n">
        <v>1.888</v>
      </c>
      <c r="F20" s="24" t="n">
        <v>1.888</v>
      </c>
      <c r="G20" s="57" t="inlineStr">
        <is>
          <t>N</t>
        </is>
      </c>
      <c r="H20" s="23">
        <f>IF(UPPER(G20)="Y",E20,IF(N20=0,F20,F20+(E20-F20)*M20/N20))</f>
        <v/>
      </c>
      <c r="I20" s="25">
        <f>E20-H20</f>
        <v/>
      </c>
      <c r="J20" s="26">
        <f>IFERROR(H20/E20,0)</f>
        <v/>
      </c>
      <c r="K20" s="22" t="inlineStr">
        <is>
          <t>Oct 4 - Oct 5</t>
        </is>
      </c>
      <c r="L20" s="22">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1" t="inlineStr">
        <is>
          <t>UPLOAD</t>
        </is>
      </c>
      <c r="B21" s="22" t="inlineStr">
        <is>
          <t>Data Upload &amp; Validation API</t>
        </is>
      </c>
      <c r="C21" s="22" t="inlineStr">
        <is>
          <t>MOD-BE</t>
        </is>
      </c>
      <c r="D21" s="22" t="inlineStr">
        <is>
          <t>Ysa</t>
        </is>
      </c>
      <c r="E21" s="23" t="n">
        <v>2.203</v>
      </c>
      <c r="F21" s="24" t="n">
        <v>1.888</v>
      </c>
      <c r="G21" s="57" t="inlineStr">
        <is>
          <t>N</t>
        </is>
      </c>
      <c r="H21" s="23">
        <f>IF(UPPER(G21)="Y",E21,IF(N21=0,F21,F21+(E21-F21)*M21/N21))</f>
        <v/>
      </c>
      <c r="I21" s="25">
        <f>E21-H21</f>
        <v/>
      </c>
      <c r="J21" s="26">
        <f>IFERROR(H21/E21,0)</f>
        <v/>
      </c>
      <c r="K21" s="22" t="inlineStr">
        <is>
          <t>Oct 5 - Oct 6</t>
        </is>
      </c>
      <c r="L21" s="22">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1" t="inlineStr">
        <is>
          <t>REALTIME</t>
        </is>
      </c>
      <c r="B22" s="22" t="inlineStr">
        <is>
          <t>Redis Realtime &amp; Event Streaming</t>
        </is>
      </c>
      <c r="C22" s="22" t="inlineStr">
        <is>
          <t>MOD-BE</t>
        </is>
      </c>
      <c r="D22" s="22" t="inlineStr">
        <is>
          <t>Ysa</t>
        </is>
      </c>
      <c r="E22" s="23" t="n">
        <v>2.203</v>
      </c>
      <c r="F22" s="24" t="n">
        <v>1.573</v>
      </c>
      <c r="G22" s="57" t="inlineStr">
        <is>
          <t>N</t>
        </is>
      </c>
      <c r="H22" s="23">
        <f>IF(UPPER(G22)="Y",E22,IF(N22=0,F22,F22+(E22-F22)*M22/N22))</f>
        <v/>
      </c>
      <c r="I22" s="25">
        <f>E22-H22</f>
        <v/>
      </c>
      <c r="J22" s="26">
        <f>IFERROR(H22/E22,0)</f>
        <v/>
      </c>
      <c r="K22" s="22" t="inlineStr">
        <is>
          <t>Oct 5 - Oct 6</t>
        </is>
      </c>
      <c r="L22" s="22">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1" t="inlineStr">
        <is>
          <t>AUDIT</t>
        </is>
      </c>
      <c r="B23" s="22" t="inlineStr">
        <is>
          <t>Audit Log API (backend/API)</t>
        </is>
      </c>
      <c r="C23" s="22" t="inlineStr">
        <is>
          <t>MOD-BE</t>
        </is>
      </c>
      <c r="D23" s="22" t="inlineStr">
        <is>
          <t>Jertz</t>
        </is>
      </c>
      <c r="E23" s="23" t="n">
        <v>2.203</v>
      </c>
      <c r="F23" s="24" t="n">
        <v>1.573</v>
      </c>
      <c r="G23" s="57" t="inlineStr">
        <is>
          <t>N</t>
        </is>
      </c>
      <c r="H23" s="23">
        <f>IF(UPPER(G23)="Y",E23,IF(N23=0,F23,F23+(E23-F23)*M23/N23))</f>
        <v/>
      </c>
      <c r="I23" s="25">
        <f>E23-H23</f>
        <v/>
      </c>
      <c r="J23" s="26">
        <f>IFERROR(H23/E23,0)</f>
        <v/>
      </c>
      <c r="K23" s="22" t="inlineStr">
        <is>
          <t>Oct 5 - Oct 6</t>
        </is>
      </c>
      <c r="L23" s="22">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1" t="inlineStr">
        <is>
          <t>MODEVAL</t>
        </is>
      </c>
      <c r="B24" s="22" t="inlineStr">
        <is>
          <t>Model Evaluation &amp; Validation</t>
        </is>
      </c>
      <c r="C24" s="22" t="inlineStr">
        <is>
          <t>MOD-ANA</t>
        </is>
      </c>
      <c r="D24" s="22" t="inlineStr">
        <is>
          <t>Hans</t>
        </is>
      </c>
      <c r="E24" s="23" t="n">
        <v>4.406</v>
      </c>
      <c r="F24" s="24" t="n">
        <v>1.888</v>
      </c>
      <c r="G24" s="57" t="inlineStr">
        <is>
          <t>N</t>
        </is>
      </c>
      <c r="H24" s="23">
        <f>IF(UPPER(G24)="Y",E24,IF(N24=0,F24,F24+(E24-F24)*M24/N24))</f>
        <v/>
      </c>
      <c r="I24" s="25">
        <f>E24-H24</f>
        <v/>
      </c>
      <c r="J24" s="26">
        <f>IFERROR(H24/E24,0)</f>
        <v/>
      </c>
      <c r="K24" s="22" t="inlineStr">
        <is>
          <t>Sep 29 - Oct 3</t>
        </is>
      </c>
      <c r="L24" s="22">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1" t="inlineStr">
        <is>
          <t>TRAFFICDESC</t>
        </is>
      </c>
      <c r="B25" s="22" t="inlineStr">
        <is>
          <t>Traffic Volume Descriptive Analytics</t>
        </is>
      </c>
      <c r="C25" s="22" t="inlineStr">
        <is>
          <t>MOD-ANA</t>
        </is>
      </c>
      <c r="D25" s="22" t="inlineStr">
        <is>
          <t>Hans</t>
        </is>
      </c>
      <c r="E25" s="23" t="n">
        <v>2.832</v>
      </c>
      <c r="F25" s="24" t="n">
        <v>2.517</v>
      </c>
      <c r="G25" s="57" t="inlineStr">
        <is>
          <t>N</t>
        </is>
      </c>
      <c r="H25" s="23">
        <f>IF(UPPER(G25)="Y",E25,IF(N25=0,F25,F25+(E25-F25)*M25/N25))</f>
        <v/>
      </c>
      <c r="I25" s="25">
        <f>E25-H25</f>
        <v/>
      </c>
      <c r="J25" s="26">
        <f>IFERROR(H25/E25,0)</f>
        <v/>
      </c>
      <c r="K25" s="22" t="inlineStr">
        <is>
          <t>Oct 5 - Oct 6</t>
        </is>
      </c>
      <c r="L25" s="22">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1" t="inlineStr">
        <is>
          <t>INCIDENTDESC</t>
        </is>
      </c>
      <c r="B26" s="22" t="inlineStr">
        <is>
          <t>Incident Descriptive Analytics</t>
        </is>
      </c>
      <c r="C26" s="22" t="inlineStr">
        <is>
          <t>MOD-ANA</t>
        </is>
      </c>
      <c r="D26" s="22" t="inlineStr">
        <is>
          <t>Jertz</t>
        </is>
      </c>
      <c r="E26" s="23" t="n">
        <v>3.147</v>
      </c>
      <c r="F26" s="24" t="n">
        <v>2.832</v>
      </c>
      <c r="G26" s="57" t="inlineStr">
        <is>
          <t>N</t>
        </is>
      </c>
      <c r="H26" s="23">
        <f>IF(UPPER(G26)="Y",E26,IF(N26=0,F26,F26+(E26-F26)*M26/N26))</f>
        <v/>
      </c>
      <c r="I26" s="25">
        <f>E26-H26</f>
        <v/>
      </c>
      <c r="J26" s="26">
        <f>IFERROR(H26/E26,0)</f>
        <v/>
      </c>
      <c r="K26" s="22" t="inlineStr">
        <is>
          <t>Oct 5 - Oct 6</t>
        </is>
      </c>
      <c r="L26" s="22">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1" t="inlineStr">
        <is>
          <t>EMISSDESC</t>
        </is>
      </c>
      <c r="B27" s="22" t="inlineStr">
        <is>
          <t>Emissions &amp; Sustainability Descriptive Analytics</t>
        </is>
      </c>
      <c r="C27" s="22" t="inlineStr">
        <is>
          <t>MOD-ANA</t>
        </is>
      </c>
      <c r="D27" s="22" t="inlineStr">
        <is>
          <t>Hans</t>
        </is>
      </c>
      <c r="E27" s="23" t="n">
        <v>3.147</v>
      </c>
      <c r="F27" s="24" t="n">
        <v>2.832</v>
      </c>
      <c r="G27" s="57" t="inlineStr">
        <is>
          <t>N</t>
        </is>
      </c>
      <c r="H27" s="23">
        <f>IF(UPPER(G27)="Y",E27,IF(N27=0,F27,F27+(E27-F27)*M27/N27))</f>
        <v/>
      </c>
      <c r="I27" s="25">
        <f>E27-H27</f>
        <v/>
      </c>
      <c r="J27" s="26">
        <f>IFERROR(H27/E27,0)</f>
        <v/>
      </c>
      <c r="K27" s="22" t="inlineStr">
        <is>
          <t>Oct 5 - Oct 6</t>
        </is>
      </c>
      <c r="L27" s="22">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1" t="inlineStr">
        <is>
          <t>TRAFFICFC</t>
        </is>
      </c>
      <c r="B28" s="22" t="inlineStr">
        <is>
          <t>Traffic Volume Predictive Model</t>
        </is>
      </c>
      <c r="C28" s="22" t="inlineStr">
        <is>
          <t>MOD-ANA</t>
        </is>
      </c>
      <c r="D28" s="22" t="inlineStr">
        <is>
          <t>Hans</t>
        </is>
      </c>
      <c r="E28" s="23" t="n">
        <v>3.462</v>
      </c>
      <c r="F28" s="24" t="n">
        <v>2.832</v>
      </c>
      <c r="G28" s="57" t="inlineStr">
        <is>
          <t>N</t>
        </is>
      </c>
      <c r="H28" s="23">
        <f>IF(UPPER(G28)="Y",E28,IF(N28=0,F28,F28+(E28-F28)*M28/N28))</f>
        <v/>
      </c>
      <c r="I28" s="25">
        <f>E28-H28</f>
        <v/>
      </c>
      <c r="J28" s="26">
        <f>IFERROR(H28/E28,0)</f>
        <v/>
      </c>
      <c r="K28" s="22" t="inlineStr">
        <is>
          <t>Oct 5 - Oct 6</t>
        </is>
      </c>
      <c r="L28" s="22">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1" t="inlineStr">
        <is>
          <t>INCIDENTFC</t>
        </is>
      </c>
      <c r="B29" s="22" t="inlineStr">
        <is>
          <t>Incident Predictive Model</t>
        </is>
      </c>
      <c r="C29" s="22" t="inlineStr">
        <is>
          <t>MOD-ANA</t>
        </is>
      </c>
      <c r="D29" s="22" t="inlineStr">
        <is>
          <t>Jertz</t>
        </is>
      </c>
      <c r="E29" s="23" t="n">
        <v>2.832</v>
      </c>
      <c r="F29" s="24" t="n">
        <v>0</v>
      </c>
      <c r="G29" s="57" t="inlineStr">
        <is>
          <t>N</t>
        </is>
      </c>
      <c r="H29" s="23">
        <f>IF(UPPER(G29)="Y",E29,IF(N29=0,F29,F29+(E29-F29)*M29/N29))</f>
        <v/>
      </c>
      <c r="I29" s="25">
        <f>E29-H29</f>
        <v/>
      </c>
      <c r="J29" s="26">
        <f>IFERROR(H29/E29,0)</f>
        <v/>
      </c>
      <c r="K29" s="22" t="inlineStr">
        <is>
          <t>Sep 29 - Oct 3</t>
        </is>
      </c>
      <c r="L29" s="22">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1" t="inlineStr">
        <is>
          <t>PRESCRIBE</t>
        </is>
      </c>
      <c r="B30" s="22" t="inlineStr">
        <is>
          <t>Prescriptive Optimization Models</t>
        </is>
      </c>
      <c r="C30" s="22" t="inlineStr">
        <is>
          <t>MOD-ANA</t>
        </is>
      </c>
      <c r="D30" s="22" t="inlineStr">
        <is>
          <t>Hans</t>
        </is>
      </c>
      <c r="E30" s="23" t="n">
        <v>2.517</v>
      </c>
      <c r="F30" s="24" t="n">
        <v>0</v>
      </c>
      <c r="G30" s="57" t="inlineStr">
        <is>
          <t>N</t>
        </is>
      </c>
      <c r="H30" s="23">
        <f>IF(UPPER(G30)="Y",E30,IF(N30=0,F30,F30+(E30-F30)*M30/N30))</f>
        <v/>
      </c>
      <c r="I30" s="25">
        <f>E30-H30</f>
        <v/>
      </c>
      <c r="J30" s="26">
        <f>IFERROR(H30/E30,0)</f>
        <v/>
      </c>
      <c r="K30" s="22" t="inlineStr">
        <is>
          <t>Sep 29 - Oct 3</t>
        </is>
      </c>
      <c r="L30" s="22">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1" t="inlineStr">
        <is>
          <t>AGENT-M</t>
        </is>
      </c>
      <c r="B31" s="22" t="inlineStr">
        <is>
          <t>Agent Simulation - vehicle dynamics &amp; calibration</t>
        </is>
      </c>
      <c r="C31" s="22" t="inlineStr">
        <is>
          <t>MOD-ANA</t>
        </is>
      </c>
      <c r="D31" s="22" t="inlineStr">
        <is>
          <t>Hans</t>
        </is>
      </c>
      <c r="E31" s="23" t="n">
        <v>1.101</v>
      </c>
      <c r="F31" s="24" t="n">
        <v>0.472</v>
      </c>
      <c r="G31" s="57" t="inlineStr">
        <is>
          <t>N</t>
        </is>
      </c>
      <c r="H31" s="23">
        <f>IF(UPPER(G31)="Y",E31,IF(N31=0,F31,F31+(E31-F31)*M31/N31))</f>
        <v/>
      </c>
      <c r="I31" s="25">
        <f>E31-H31</f>
        <v/>
      </c>
      <c r="J31" s="26">
        <f>IFERROR(H31/E31,0)</f>
        <v/>
      </c>
      <c r="K31" s="22" t="inlineStr">
        <is>
          <t>Oct 5 - Oct 6</t>
        </is>
      </c>
      <c r="L31" s="22">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1" t="inlineStr">
        <is>
          <t>AGENT-S</t>
        </is>
      </c>
      <c r="B32" s="22" t="inlineStr">
        <is>
          <t>Agent Simulation - scenarios &amp; validation</t>
        </is>
      </c>
      <c r="C32" s="22" t="inlineStr">
        <is>
          <t>MOD-ANA</t>
        </is>
      </c>
      <c r="D32" s="22" t="inlineStr">
        <is>
          <t>Jertz</t>
        </is>
      </c>
      <c r="E32" s="23" t="n">
        <v>1.102</v>
      </c>
      <c r="F32" s="24" t="n">
        <v>0.472</v>
      </c>
      <c r="G32" s="57" t="inlineStr">
        <is>
          <t>N</t>
        </is>
      </c>
      <c r="H32" s="23">
        <f>IF(UPPER(G32)="Y",E32,IF(N32=0,F32,F32+(E32-F32)*M32/N32))</f>
        <v/>
      </c>
      <c r="I32" s="25">
        <f>E32-H32</f>
        <v/>
      </c>
      <c r="J32" s="26">
        <f>IFERROR(H32/E32,0)</f>
        <v/>
      </c>
      <c r="K32" s="22" t="inlineStr">
        <is>
          <t>Oct 5 - Oct 6</t>
        </is>
      </c>
      <c r="L32" s="22">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1" t="inlineStr">
        <is>
          <t>RAG</t>
        </is>
      </c>
      <c r="B33" s="22"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33" s="22" t="inlineStr">
        <is>
          <t>MOD-ANA</t>
        </is>
      </c>
      <c r="D33" s="22" t="inlineStr">
        <is>
          <t>Ysa</t>
        </is>
      </c>
      <c r="E33" s="23" t="n">
        <v>2.517</v>
      </c>
      <c r="F33" s="24" t="n">
        <v>0</v>
      </c>
      <c r="G33" s="57" t="inlineStr">
        <is>
          <t>N</t>
        </is>
      </c>
      <c r="H33" s="23">
        <f>IF(UPPER(G33)="Y",E33,IF(N33=0,F33,F33+(E33-F33)*M33/N33))</f>
        <v/>
      </c>
      <c r="I33" s="25">
        <f>E33-H33</f>
        <v/>
      </c>
      <c r="J33" s="26">
        <f>IFERROR(H33/E33,0)</f>
        <v/>
      </c>
      <c r="K33" s="22" t="inlineStr">
        <is>
          <t>Oct 3 - sign-off</t>
        </is>
      </c>
      <c r="L33" s="22">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21" t="inlineStr">
        <is>
          <t>DATAPREP</t>
        </is>
      </c>
      <c r="B34" s="22" t="inlineStr">
        <is>
          <t>Analytics Data Preparation &amp; Integration</t>
        </is>
      </c>
      <c r="C34" s="22" t="inlineStr">
        <is>
          <t>MOD-ANA</t>
        </is>
      </c>
      <c r="D34" s="22" t="inlineStr">
        <is>
          <t>Hans</t>
        </is>
      </c>
      <c r="E34" s="23" t="n">
        <v>4.406</v>
      </c>
      <c r="F34" s="24" t="n">
        <v>3.147</v>
      </c>
      <c r="G34" s="57" t="inlineStr">
        <is>
          <t>N</t>
        </is>
      </c>
      <c r="H34" s="23">
        <f>IF(UPPER(G34)="Y",E34,IF(N34=0,F34,F34+(E34-F34)*M34/N34))</f>
        <v/>
      </c>
      <c r="I34" s="25">
        <f>E34-H34</f>
        <v/>
      </c>
      <c r="J34" s="26">
        <f>IFERROR(H34/E34,0)</f>
        <v/>
      </c>
      <c r="K34" s="22" t="inlineStr">
        <is>
          <t>Oct 4 - Oct 5</t>
        </is>
      </c>
      <c r="L34" s="22">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21" t="inlineStr">
        <is>
          <t>DATA</t>
        </is>
      </c>
      <c r="B35" s="22" t="inlineStr">
        <is>
          <t>Core Traffic Data Schema &amp; Import Tables</t>
        </is>
      </c>
      <c r="C35" s="22" t="inlineStr">
        <is>
          <t>MOD-DB</t>
        </is>
      </c>
      <c r="D35" s="22" t="inlineStr">
        <is>
          <t>Hans</t>
        </is>
      </c>
      <c r="E35" s="23" t="n">
        <v>3.147</v>
      </c>
      <c r="F35" s="24" t="n">
        <v>1.888</v>
      </c>
      <c r="G35" s="57" t="inlineStr">
        <is>
          <t>N</t>
        </is>
      </c>
      <c r="H35" s="23">
        <f>IF(UPPER(G35)="Y",E35,IF(N35=0,F35,F35+(E35-F35)*M35/N35))</f>
        <v/>
      </c>
      <c r="I35" s="25">
        <f>E35-H35</f>
        <v/>
      </c>
      <c r="J35" s="26">
        <f>IFERROR(H35/E35,0)</f>
        <v/>
      </c>
      <c r="K35" s="22" t="inlineStr">
        <is>
          <t>Oct 4 - Oct 5</t>
        </is>
      </c>
      <c r="L35" s="22">
        <f>IF(H35&gt;=E35,"Done",IF(H35&gt;0,"In progress","Not started"))</f>
        <v/>
      </c>
      <c r="M35" s="69">
        <f>COUNTIFS(Kiarra!$I:$I,"*;"&amp;$A35&amp;";*",Kiarra!$H:$H,"Done")+COUNTIFS(Hans!$I:$I,"*;"&amp;$A35&amp;";*",Hans!$H:$H,"Done")+COUNTIFS(Jertz!$I:$I,"*;"&amp;$A35&amp;";*",Jertz!$H:$H,"Done")+COUNTIFS(Ysa!$I:$I,"*;"&amp;$A35&amp;";*",Ysa!$H:$H,"Done")</f>
        <v/>
      </c>
      <c r="N35" s="69">
        <f>COUNTIF(Kiarra!$I:$I,"*;"&amp;$A35&amp;";*")+COUNTIF(Hans!$I:$I,"*;"&amp;$A35&amp;";*")+COUNTIF(Jertz!$I:$I,"*;"&amp;$A35&amp;";*")+COUNTIF(Ysa!$I:$I,"*;"&amp;$A35&amp;";*")</f>
        <v/>
      </c>
    </row>
    <row r="36">
      <c r="A36" s="21" t="inlineStr">
        <is>
          <t>ETL</t>
        </is>
      </c>
      <c r="B36" s="22" t="inlineStr">
        <is>
          <t>ETL Pipeline &amp; Data Warehouse</t>
        </is>
      </c>
      <c r="C36" s="22" t="inlineStr">
        <is>
          <t>MOD-DB</t>
        </is>
      </c>
      <c r="D36" s="22" t="inlineStr">
        <is>
          <t>Hans</t>
        </is>
      </c>
      <c r="E36" s="23" t="n">
        <v>2.203</v>
      </c>
      <c r="F36" s="24" t="n">
        <v>2.203</v>
      </c>
      <c r="G36" s="57" t="inlineStr">
        <is>
          <t>N</t>
        </is>
      </c>
      <c r="H36" s="23">
        <f>IF(UPPER(G36)="Y",E36,IF(N36=0,F36,F36+(E36-F36)*M36/N36))</f>
        <v/>
      </c>
      <c r="I36" s="25">
        <f>E36-H36</f>
        <v/>
      </c>
      <c r="J36" s="26">
        <f>IFERROR(H36/E36,0)</f>
        <v/>
      </c>
      <c r="K36" s="22" t="inlineStr">
        <is>
          <t>Oct 5 - Oct 6</t>
        </is>
      </c>
      <c r="L36" s="22">
        <f>IF(H36&gt;=E36,"Done",IF(H36&gt;0,"In progress","Not started"))</f>
        <v/>
      </c>
      <c r="M36" s="69">
        <f>COUNTIFS(Kiarra!$I:$I,"*;"&amp;$A36&amp;";*",Kiarra!$H:$H,"Done")+COUNTIFS(Hans!$I:$I,"*;"&amp;$A36&amp;";*",Hans!$H:$H,"Done")+COUNTIFS(Jertz!$I:$I,"*;"&amp;$A36&amp;";*",Jertz!$H:$H,"Done")+COUNTIFS(Ysa!$I:$I,"*;"&amp;$A36&amp;";*",Ysa!$H:$H,"Done")</f>
        <v/>
      </c>
      <c r="N36" s="69">
        <f>COUNTIF(Kiarra!$I:$I,"*;"&amp;$A36&amp;";*")+COUNTIF(Hans!$I:$I,"*;"&amp;$A36&amp;";*")+COUNTIF(Jertz!$I:$I,"*;"&amp;$A36&amp;";*")+COUNTIF(Ysa!$I:$I,"*;"&amp;$A36&amp;";*")</f>
        <v/>
      </c>
    </row>
    <row r="37">
      <c r="A37" s="21" t="inlineStr">
        <is>
          <t>CACHE</t>
        </is>
      </c>
      <c r="B37" s="22" t="inlineStr">
        <is>
          <t>Redis Cache &amp; Event Messaging Setup</t>
        </is>
      </c>
      <c r="C37" s="22" t="inlineStr">
        <is>
          <t>MOD-DB</t>
        </is>
      </c>
      <c r="D37" s="22" t="inlineStr">
        <is>
          <t>Hans</t>
        </is>
      </c>
      <c r="E37" s="23" t="n">
        <v>1.888</v>
      </c>
      <c r="F37" s="24" t="n">
        <v>0.944</v>
      </c>
      <c r="G37" s="57" t="inlineStr">
        <is>
          <t>N</t>
        </is>
      </c>
      <c r="H37" s="23">
        <f>IF(UPPER(G37)="Y",E37,IF(N37=0,F37,F37+(E37-F37)*M37/N37))</f>
        <v/>
      </c>
      <c r="I37" s="25">
        <f>E37-H37</f>
        <v/>
      </c>
      <c r="J37" s="26">
        <f>IFERROR(H37/E37,0)</f>
        <v/>
      </c>
      <c r="K37" s="22" t="inlineStr">
        <is>
          <t>Oct 5 - Oct 6</t>
        </is>
      </c>
      <c r="L37" s="22">
        <f>IF(H37&gt;=E37,"Done",IF(H37&gt;0,"In progress","Not started"))</f>
        <v/>
      </c>
      <c r="M37" s="69">
        <f>COUNTIFS(Kiarra!$I:$I,"*;"&amp;$A37&amp;";*",Kiarra!$H:$H,"Done")+COUNTIFS(Hans!$I:$I,"*;"&amp;$A37&amp;";*",Hans!$H:$H,"Done")+COUNTIFS(Jertz!$I:$I,"*;"&amp;$A37&amp;";*",Jertz!$H:$H,"Done")+COUNTIFS(Ysa!$I:$I,"*;"&amp;$A37&amp;";*",Ysa!$H:$H,"Done")</f>
        <v/>
      </c>
      <c r="N37" s="69">
        <f>COUNTIF(Kiarra!$I:$I,"*;"&amp;$A37&amp;";*")+COUNTIF(Hans!$I:$I,"*;"&amp;$A37&amp;";*")+COUNTIF(Jertz!$I:$I,"*;"&amp;$A37&amp;";*")+COUNTIF(Ysa!$I:$I,"*;"&amp;$A37&amp;";*")</f>
        <v/>
      </c>
    </row>
    <row r="38">
      <c r="A38" s="21" t="inlineStr">
        <is>
          <t>HOST</t>
        </is>
      </c>
      <c r="B38" s="22" t="inlineStr">
        <is>
          <t>Hosting &amp; Deployment Setup</t>
        </is>
      </c>
      <c r="C38" s="22" t="inlineStr">
        <is>
          <t>CORE</t>
        </is>
      </c>
      <c r="D38" s="22" t="inlineStr">
        <is>
          <t>Kiarra</t>
        </is>
      </c>
      <c r="E38" s="23" t="n">
        <v>1.573</v>
      </c>
      <c r="F38" s="24" t="n">
        <v>0.629</v>
      </c>
      <c r="G38" s="57" t="inlineStr">
        <is>
          <t>N</t>
        </is>
      </c>
      <c r="H38" s="23">
        <f>IF(UPPER(G38)="Y",E38,IF(N38=0,F38,F38+(E38-F38)*M38/N38))</f>
        <v/>
      </c>
      <c r="I38" s="25">
        <f>E38-H38</f>
        <v/>
      </c>
      <c r="J38" s="26">
        <f>IFERROR(H38/E38,0)</f>
        <v/>
      </c>
      <c r="K38" s="22" t="inlineStr">
        <is>
          <t>Oct 5 - Oct 6</t>
        </is>
      </c>
      <c r="L38" s="22">
        <f>IF(H38&gt;=E38,"Done",IF(H38&gt;0,"In progress","Not started"))</f>
        <v/>
      </c>
      <c r="M38" s="69">
        <f>COUNTIFS(Kiarra!$I:$I,"*;"&amp;$A38&amp;";*",Kiarra!$H:$H,"Done")+COUNTIFS(Hans!$I:$I,"*;"&amp;$A38&amp;";*",Hans!$H:$H,"Done")+COUNTIFS(Jertz!$I:$I,"*;"&amp;$A38&amp;";*",Jertz!$H:$H,"Done")+COUNTIFS(Ysa!$I:$I,"*;"&amp;$A38&amp;";*",Ysa!$H:$H,"Done")</f>
        <v/>
      </c>
      <c r="N38" s="69">
        <f>COUNTIF(Kiarra!$I:$I,"*;"&amp;$A38&amp;";*")+COUNTIF(Hans!$I:$I,"*;"&amp;$A38&amp;";*")+COUNTIF(Jertz!$I:$I,"*;"&amp;$A38&amp;";*")+COUNTIF(Ysa!$I:$I,"*;"&amp;$A38&amp;";*")</f>
        <v/>
      </c>
    </row>
    <row r="39">
      <c r="A39" s="21" t="inlineStr">
        <is>
          <t>REPO</t>
        </is>
      </c>
      <c r="B39" s="22" t="inlineStr">
        <is>
          <t>Repository &amp; Branch Management</t>
        </is>
      </c>
      <c r="C39" s="22" t="inlineStr">
        <is>
          <t>CORE</t>
        </is>
      </c>
      <c r="D39" s="22" t="inlineStr">
        <is>
          <t>Kiarra</t>
        </is>
      </c>
      <c r="E39" s="23" t="n">
        <v>0.944</v>
      </c>
      <c r="F39" s="24" t="n">
        <v>0.944</v>
      </c>
      <c r="G39" s="57" t="inlineStr">
        <is>
          <t>N</t>
        </is>
      </c>
      <c r="H39" s="23">
        <f>IF(UPPER(G39)="Y",E39,IF(N39=0,F39,F39+(E39-F39)*M39/N39))</f>
        <v/>
      </c>
      <c r="I39" s="25">
        <f>E39-H39</f>
        <v/>
      </c>
      <c r="J39" s="26">
        <f>IFERROR(H39/E39,0)</f>
        <v/>
      </c>
      <c r="K39" s="22" t="inlineStr">
        <is>
          <t>Oct 5 - Oct 6</t>
        </is>
      </c>
      <c r="L39" s="22">
        <f>IF(H39&gt;=E39,"Done",IF(H39&gt;0,"In progress","Not started"))</f>
        <v/>
      </c>
      <c r="M39" s="69">
        <f>COUNTIFS(Kiarra!$I:$I,"*;"&amp;$A39&amp;";*",Kiarra!$H:$H,"Done")+COUNTIFS(Hans!$I:$I,"*;"&amp;$A39&amp;";*",Hans!$H:$H,"Done")+COUNTIFS(Jertz!$I:$I,"*;"&amp;$A39&amp;";*",Jertz!$H:$H,"Done")+COUNTIFS(Ysa!$I:$I,"*;"&amp;$A39&amp;";*",Ysa!$H:$H,"Done")</f>
        <v/>
      </c>
      <c r="N39" s="69">
        <f>COUNTIF(Kiarra!$I:$I,"*;"&amp;$A39&amp;";*")+COUNTIF(Hans!$I:$I,"*;"&amp;$A39&amp;";*")+COUNTIF(Jertz!$I:$I,"*;"&amp;$A39&amp;";*")+COUNTIF(Ysa!$I:$I,"*;"&amp;$A39&amp;";*")</f>
        <v/>
      </c>
    </row>
    <row r="40">
      <c r="A40" s="21" t="inlineStr">
        <is>
          <t>ENV</t>
        </is>
      </c>
      <c r="B40" s="22" t="inlineStr">
        <is>
          <t>Environment Configuration</t>
        </is>
      </c>
      <c r="C40" s="22" t="inlineStr">
        <is>
          <t>CORE</t>
        </is>
      </c>
      <c r="D40" s="22" t="inlineStr">
        <is>
          <t>Kiarra</t>
        </is>
      </c>
      <c r="E40" s="23" t="n">
        <v>1.259</v>
      </c>
      <c r="F40" s="24" t="n">
        <v>0.629</v>
      </c>
      <c r="G40" s="57" t="inlineStr">
        <is>
          <t>N</t>
        </is>
      </c>
      <c r="H40" s="23">
        <f>IF(UPPER(G40)="Y",E40,IF(N40=0,F40,F40+(E40-F40)*M40/N40))</f>
        <v/>
      </c>
      <c r="I40" s="25">
        <f>E40-H40</f>
        <v/>
      </c>
      <c r="J40" s="26">
        <f>IFERROR(H40/E40,0)</f>
        <v/>
      </c>
      <c r="K40" s="22" t="inlineStr">
        <is>
          <t>Oct 5 - Oct 6</t>
        </is>
      </c>
      <c r="L40" s="22">
        <f>IF(H40&gt;=E40,"Done",IF(H40&gt;0,"In progress","Not started"))</f>
        <v/>
      </c>
      <c r="M40" s="69">
        <f>COUNTIFS(Kiarra!$I:$I,"*;"&amp;$A40&amp;";*",Kiarra!$H:$H,"Done")+COUNTIFS(Hans!$I:$I,"*;"&amp;$A40&amp;";*",Hans!$H:$H,"Done")+COUNTIFS(Jertz!$I:$I,"*;"&amp;$A40&amp;";*",Jertz!$H:$H,"Done")+COUNTIFS(Ysa!$I:$I,"*;"&amp;$A40&amp;";*",Ysa!$H:$H,"Done")</f>
        <v/>
      </c>
      <c r="N40" s="69">
        <f>COUNTIF(Kiarra!$I:$I,"*;"&amp;$A40&amp;";*")+COUNTIF(Hans!$I:$I,"*;"&amp;$A40&amp;";*")+COUNTIF(Jertz!$I:$I,"*;"&amp;$A40&amp;";*")+COUNTIF(Ysa!$I:$I,"*;"&amp;$A40&amp;";*")</f>
        <v/>
      </c>
    </row>
    <row r="41">
      <c r="A41" s="21" t="inlineStr">
        <is>
          <t>UIUX</t>
        </is>
      </c>
      <c r="B41" s="22" t="inlineStr">
        <is>
          <t>Global UI/UX Design System</t>
        </is>
      </c>
      <c r="C41" s="22" t="inlineStr">
        <is>
          <t>CORE</t>
        </is>
      </c>
      <c r="D41" s="22" t="inlineStr">
        <is>
          <t>Kiarra</t>
        </is>
      </c>
      <c r="E41" s="23" t="n">
        <v>0.944</v>
      </c>
      <c r="F41" s="24" t="n">
        <v>0.944</v>
      </c>
      <c r="G41" s="57" t="inlineStr">
        <is>
          <t>N</t>
        </is>
      </c>
      <c r="H41" s="23">
        <f>IF(UPPER(G41)="Y",E41,IF(N41=0,F41,F41+(E41-F41)*M41/N41))</f>
        <v/>
      </c>
      <c r="I41" s="25">
        <f>E41-H41</f>
        <v/>
      </c>
      <c r="J41" s="26">
        <f>IFERROR(H41/E41,0)</f>
        <v/>
      </c>
      <c r="K41" s="22" t="inlineStr">
        <is>
          <t>Oct 5 - Oct 6</t>
        </is>
      </c>
      <c r="L41" s="22">
        <f>IF(H41&gt;=E41,"Done",IF(H41&gt;0,"In progress","Not started"))</f>
        <v/>
      </c>
      <c r="M41" s="69">
        <f>COUNTIFS(Kiarra!$I:$I,"*;"&amp;$A41&amp;";*",Kiarra!$H:$H,"Done")+COUNTIFS(Hans!$I:$I,"*;"&amp;$A41&amp;";*",Hans!$H:$H,"Done")+COUNTIFS(Jertz!$I:$I,"*;"&amp;$A41&amp;";*",Jertz!$H:$H,"Done")+COUNTIFS(Ysa!$I:$I,"*;"&amp;$A41&amp;";*",Ysa!$H:$H,"Done")</f>
        <v/>
      </c>
      <c r="N41" s="69">
        <f>COUNTIF(Kiarra!$I:$I,"*;"&amp;$A41&amp;";*")+COUNTIF(Hans!$I:$I,"*;"&amp;$A41&amp;";*")+COUNTIF(Jertz!$I:$I,"*;"&amp;$A41&amp;";*")+COUNTIF(Ysa!$I:$I,"*;"&amp;$A41&amp;";*")</f>
        <v/>
      </c>
    </row>
    <row r="42">
      <c r="A42" s="21" t="inlineStr">
        <is>
          <t>PM</t>
        </is>
      </c>
      <c r="B42" s="22" t="inlineStr">
        <is>
          <t>Pm</t>
        </is>
      </c>
      <c r="C42" s="22" t="inlineStr">
        <is>
          <t>CORE</t>
        </is>
      </c>
      <c r="D42" s="22" t="inlineStr">
        <is>
          <t>Kiarra</t>
        </is>
      </c>
      <c r="E42" s="23" t="n">
        <v>0.944</v>
      </c>
      <c r="F42" s="24" t="n">
        <v>0.944</v>
      </c>
      <c r="G42" s="57" t="inlineStr">
        <is>
          <t>N</t>
        </is>
      </c>
      <c r="H42" s="23">
        <f>IF(UPPER(G42)="Y",E42,IF(N42=0,F42,F42+(E42-F42)*M42/N42))</f>
        <v/>
      </c>
      <c r="I42" s="25">
        <f>E42-H42</f>
        <v/>
      </c>
      <c r="J42" s="26">
        <f>IFERROR(H42/E42,0)</f>
        <v/>
      </c>
      <c r="K42" s="22" t="inlineStr">
        <is>
          <t>-</t>
        </is>
      </c>
      <c r="L42" s="22">
        <f>IF(H42&gt;=E42,"Done",IF(H42&gt;0,"In progress","Not started"))</f>
        <v/>
      </c>
      <c r="M42" s="69">
        <f>COUNTIFS(Kiarra!$I:$I,"*;"&amp;$A42&amp;";*",Kiarra!$H:$H,"Done")+COUNTIFS(Hans!$I:$I,"*;"&amp;$A42&amp;";*",Hans!$H:$H,"Done")+COUNTIFS(Jertz!$I:$I,"*;"&amp;$A42&amp;";*",Jertz!$H:$H,"Done")+COUNTIFS(Ysa!$I:$I,"*;"&amp;$A42&amp;";*",Ysa!$H:$H,"Done")</f>
        <v/>
      </c>
      <c r="N42" s="69">
        <f>COUNTIF(Kiarra!$I:$I,"*;"&amp;$A42&amp;";*")+COUNTIF(Hans!$I:$I,"*;"&amp;$A42&amp;";*")+COUNTIF(Jertz!$I:$I,"*;"&amp;$A42&amp;";*")+COUNTIF(Ysa!$I:$I,"*;"&amp;$A42&amp;";*")</f>
        <v/>
      </c>
    </row>
    <row r="43">
      <c r="A43" t="inlineStr">
        <is>
          <t>TOTAL</t>
        </is>
      </c>
      <c r="E43" s="82">
        <f>SUM(E5:E42)</f>
        <v/>
      </c>
      <c r="F43" s="82">
        <f>SUM(F5:F42)</f>
        <v/>
      </c>
      <c r="H43" s="82">
        <f>SUM(H5:H42)</f>
        <v/>
      </c>
      <c r="I43" s="82">
        <f>SUM(I5:I42)</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 QA PASS (2 Oct): 24 adversarial checks - boundaries, malformed timestamps, script/SQL payloads, bad ids, invalid status transitions. One more defect found and fixed: a malformed id reached Postgres, which threw, and the service reports every query failure as 'database not reachable', so a typo answered 503 and would have raised an infrastructure alarm. Now 404. OPEN DESIGN GAP: status is never reconciled with the clock. Both rows have windows that closed in August; one still reads in_progress so the page claims 3.0 km 'under work right now' for work that ended 46 days ago, and the other reads scheduled so the tile shows 1 beside 'nothing upcoming'. Fix before any demo.</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DONE 7 Oct. Confirmed broken first: npx eslint . exited 2 with "couldn't find an eslint.config file" - ESLint 9 was declared but configured through .eslintrc.json, which v9 no longer reads. next build lints anyway because Next shims the old format internally, which is why nobody noticed the standalone step had never worked, while 3.13 SQA describes it as part of the process. Added eslint.config.mjs using FlatCompat (eslint-config-next ships no flat entry yet), so the rule set is unchanged - only how it loads. Result: npx eslint . exits 0, 0 errors, 83 warnings. The 3 errors it first reported were require() in electron/main.js and preload.js; Electron loads both as CommonJS by requirement, so the rule is off for electron/** rather than the calls being worked around. FOLLOW-UP: .eslintrc.json is still on disk. It is dead to ESLint 9 but next build may still read it; delete it and re-run a full build to confirm, which needs the dev server stopped.</t>
        </is>
      </c>
      <c r="G17" s="9" t="inlineStr">
        <is>
          <t>npx eslint . runs and the error count is zero or triaged.</t>
        </is>
      </c>
      <c r="H17" s="38" t="inlineStr">
        <is>
          <t>Done</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Split the acceptance file's repeated task IDs by module. DONE 7 Oct. The row was 18.882 points, not the 3.773 this block assumed - 21% of the entire system weight, owned by nobody. Seven IDs repeat across MOD-FE and MOD-BE at different weights (AUTH is 1.888 on the frontend and 2.517 on the backend, and so on). The PDF does not label which table belongs to which module, so each column was summed and matched against the module totals printed on the same page; all five match to within decimal rounding, so the assignment is evidence, not a guess. The board now carries 38 task rows across MOD-FE/BE/ANA/DB/CORE and no (unmapped) row. NOTE: it totals 89.999, not 90.000. The source states every weight to three decimals and 38 of them do not re-sum exactly; the PDF's own module subtotals add to 90.001. The thousandth was left rather than fudged into a row to make the figure look round.</t>
        </is>
      </c>
      <c r="G18" s="9" t="inlineStr">
        <is>
          <t>The (unmapped) row is gone and every task sits under its real module.</t>
        </is>
      </c>
      <c r="H18" s="38" t="inlineStr">
        <is>
          <t>Done</t>
        </is>
      </c>
      <c r="I18" s="70" t="inlineStr">
        <is>
          <t>(overhead)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DONE 8 Oct -&gt; Chapter4_Revised_4.1_Results.md. Every placeholder in 4.1 replaced with a value read from the warehouse or the endpoint that renders the matching panel; 15 computed figures re-checked by arithmetic. Note 1 was right: 5 claims run the WRONG WAY. Holidays are 20 of 21 BELOW baseline (Good Friday -49%), not above. Wet weather raises CRASHES 19.3% but not incidents overall (breakdowns outnumber crashes 8:1 and are slightly lower in wet). Observed jam speed is HIGHER in wet, not lower. Volume champion is Prophet, not LSTM (rank 7 of 8, rejected). At the 90/10 split NOTHING is accepted. Also: incident champion carries an OVERFITTING diagnosis; 9 named analyses are not implemented in the build; the emission strategy panel is hardcoded ILLUSTRATIVE; and non-Waze speed is SYNTHETIC per the warehouse's own evaluation records - that disclosure is not in the draft at all. 16 corrections listed in section 4.1.6.</t>
        </is>
      </c>
      <c r="G21" s="41" t="inlineStr">
        <is>
          <t>No bracketed placeholder left in 4.1, and each sentence still says something true.</t>
        </is>
      </c>
      <c r="H21" s="42" t="inlineStr">
        <is>
          <t>Done</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DONE 7 Oct, nothing to fix. 10 dashboard pages x light and dark = 20 runs, ~10,000 text-bearing elements scored against the surface each is actually painted on, walking up the tree for transparent backgrounds. Result: 0 elements below 3:1. Theme switching was verified separately rather than assumed - light resolves --bg-body to #eef5fd and dark to #0a1838, with data-theme set on the root - because light and dark returned identical element counts and that would also be the signature of the theme never switching. CAVEAT: 4-6 elements per page sit on a gradient or image and are reported, not scored; a single computed background cannot represent what is behind them. Those need an eye, not a probe. The NLEX Daylight redesign held contrast well - this found nothing to fix.</t>
        </is>
      </c>
      <c r="G22" s="41" t="inlineStr">
        <is>
          <t>No text under 3:1 on any dashboard page.</t>
        </is>
      </c>
      <c r="H22" s="42" t="inlineStr">
        <is>
          <t>Done</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with screenshots of what shipped. DONE 8 Oct, via Chapter 4: 32 panels captured live from the running dashboard and embedded, plus the 4 existing figures = 36. MFA blocked this at first - the shell now drops a password-only (aal1) session, so a scripted login appeared to work then silently signed itself out. Enrolled TOTP on a fresh capture account to mint an aal2 session. TWO PANELS IN THE DRAFT NO LONGER EXIST: Secondary Incident Risk and Time to Clear are gone, replaced by Response Time Breakdown and Predicted Median Response Time - those screenshots must be swapped. THREE PANELS PREVIOUSLY CALLED MISSING NOW EXIST: Booth Staffing Plan, Congestion Response Advisory, and the emission strategies, which are now COMPUTED (3.39/0.48/0.33%), not the old hardcoded Strategy A/B/C mock.</t>
        </is>
      </c>
      <c r="G23" s="41" t="inlineStr">
        <is>
          <t>Every mock-up is either a real screenshot or labelled as a design-stage artefact.</t>
        </is>
      </c>
      <c r="H23" s="42" t="inlineStr">
        <is>
          <t>Done</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 DONE 7 Oct - there were none remaining. The acceptance file already records all 8 DATAUP subtasks complete (2.517 of 2.517), including its UAT-01. What was worth checking is that the page still works after the upload endpoints went behind authenticateToken + data-analyst on 1 Oct: /history, /formats and /retraining all answer 401 without a token and 200 with one, and the page routes every call through lib/api.ts, so it carries the session. No regression. NOTE: UPLOAD (2.203/1.888, the backend half of the same page) is Ysa's, not this block's.</t>
        </is>
      </c>
      <c r="G24" s="9" t="inlineStr">
        <is>
          <t>Upload page meets its acceptance criteria.</t>
        </is>
      </c>
      <c r="H24" s="38" t="inlineStr">
        <is>
          <t>Done</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2026-10-07T21:27:21Z</dcterms:modified>
</cp:coreProperties>
</file>